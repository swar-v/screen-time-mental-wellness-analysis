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Time vs MentalWellness" sheetId="1" r:id="rId5"/>
    <sheet state="visible" name="ScreenTime vs MentalWellness_An" sheetId="2" r:id="rId6"/>
    <sheet state="visible" name="charts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<sst xmlns="http://schemas.openxmlformats.org/spreadsheetml/2006/main" count="3340" uniqueCount="519">
  <si>
    <t>user_id</t>
  </si>
  <si>
    <t>age</t>
  </si>
  <si>
    <t>gender</t>
  </si>
  <si>
    <t>occupation</t>
  </si>
  <si>
    <t>work_mode</t>
  </si>
  <si>
    <t>screen_time_hours</t>
  </si>
  <si>
    <t>work_screen_hours</t>
  </si>
  <si>
    <t>leisure_screen_hours</t>
  </si>
  <si>
    <t>sleep_hours</t>
  </si>
  <si>
    <t>sleep_quality_1_5</t>
  </si>
  <si>
    <t>stress_level_0_10</t>
  </si>
  <si>
    <t>productivity_0_100</t>
  </si>
  <si>
    <t>exercise_minutes_per_week</t>
  </si>
  <si>
    <t>social_hours_per_week</t>
  </si>
  <si>
    <t>mental_wellness_index_0_100</t>
  </si>
  <si>
    <t>U0001</t>
  </si>
  <si>
    <t>Female</t>
  </si>
  <si>
    <t>Employed</t>
  </si>
  <si>
    <t>Remote</t>
  </si>
  <si>
    <t>check total screen time = leisure screen + work screen</t>
  </si>
  <si>
    <t>Leisure screen group</t>
  </si>
  <si>
    <t>U0002</t>
  </si>
  <si>
    <t>Total Screen Group</t>
  </si>
  <si>
    <t>In-person</t>
  </si>
  <si>
    <t>HighScreenExerciseGroup</t>
  </si>
  <si>
    <t>High Screen Social Group</t>
  </si>
  <si>
    <t>U0003</t>
  </si>
  <si>
    <t>Hybrid</t>
  </si>
  <si>
    <t>Log_transformed_work_screen_hours</t>
  </si>
  <si>
    <t>U0004</t>
  </si>
  <si>
    <t>Male</t>
  </si>
  <si>
    <t>U0005</t>
  </si>
  <si>
    <t>Student</t>
  </si>
  <si>
    <t>U0006</t>
  </si>
  <si>
    <t>Non-binary/Other</t>
  </si>
  <si>
    <t>Self-employed</t>
  </si>
  <si>
    <t>U0007</t>
  </si>
  <si>
    <t>Retired</t>
  </si>
  <si>
    <t>U0008</t>
  </si>
  <si>
    <t>U0009</t>
  </si>
  <si>
    <t>U0010</t>
  </si>
  <si>
    <t>U0011</t>
  </si>
  <si>
    <t>U0012</t>
  </si>
  <si>
    <t>Unemployed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</si>
  <si>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</si>
  <si>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</si>
  <si>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</si>
  <si>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</si>
  <si>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</si>
  <si>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</si>
  <si>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</si>
  <si>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</si>
  <si>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</si>
  <si>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</si>
  <si>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</si>
  <si>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</si>
  <si>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</si>
  <si>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</si>
  <si>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</si>
  <si>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</si>
  <si>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</si>
  <si>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</si>
  <si>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</si>
  <si>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</si>
  <si>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</si>
  <si>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</si>
  <si>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</si>
  <si>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Number of participants</t>
  </si>
  <si>
    <t>Average mental wellness</t>
  </si>
  <si>
    <t>U0036</t>
  </si>
  <si>
    <t>Average productivity</t>
  </si>
  <si>
    <t>U0037</t>
  </si>
  <si>
    <t>U0038</t>
  </si>
  <si>
    <t>U0039</t>
  </si>
  <si>
    <t>Low Leisure Screen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</si>
  <si>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</si>
  <si>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</si>
  <si>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</si>
  <si>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</si>
  <si>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</si>
  <si>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</si>
  <si>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</si>
  <si>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</si>
  <si>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High Leisure Screen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</si>
  <si>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</si>
  <si>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</si>
  <si>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</si>
  <si>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</si>
  <si>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</si>
  <si>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</si>
  <si>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</si>
  <si>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</si>
  <si>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</si>
  <si>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</si>
  <si>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</si>
  <si>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</si>
  <si>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</si>
  <si>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</si>
  <si>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High vs Low Leisure Screen Comparison</t>
  </si>
  <si>
    <t>U0062</t>
  </si>
  <si>
    <t>U0063</t>
  </si>
  <si>
    <t>U0064</t>
  </si>
  <si>
    <t>U0065</t>
  </si>
  <si>
    <t>U0066</t>
  </si>
  <si>
    <t>Measure</t>
  </si>
  <si>
    <t>U0067</t>
  </si>
  <si>
    <t>Low Leisure Screen (≤6.7h)</t>
  </si>
  <si>
    <t>High Leisure Screen (&gt;6.7h)</t>
  </si>
  <si>
    <t>% Difference</t>
  </si>
  <si>
    <t>U0068</t>
  </si>
  <si>
    <t>U0069</t>
  </si>
  <si>
    <t>U0070</t>
  </si>
  <si>
    <t>Participants</t>
  </si>
  <si>
    <t>U0071</t>
  </si>
  <si>
    <t>—</t>
  </si>
  <si>
    <t>U0072</t>
  </si>
  <si>
    <t>U0073</t>
  </si>
  <si>
    <t>U0074</t>
  </si>
  <si>
    <t>U0075</t>
  </si>
  <si>
    <t>Mental Wellness</t>
  </si>
  <si>
    <t>U0076</t>
  </si>
  <si>
    <t>U0077</t>
  </si>
  <si>
    <t>U0078</t>
  </si>
  <si>
    <t>U0079</t>
  </si>
  <si>
    <t>Productivity</t>
  </si>
  <si>
    <t>U0080</t>
  </si>
  <si>
    <t>U0081</t>
  </si>
  <si>
    <t>U0082</t>
  </si>
  <si>
    <t>U0083</t>
  </si>
  <si>
    <t>U0084</t>
  </si>
  <si>
    <t>U0085</t>
  </si>
  <si>
    <t>U0086</t>
  </si>
  <si>
    <t>Participants count</t>
  </si>
  <si>
    <t>U0087</t>
  </si>
  <si>
    <t>U0088</t>
  </si>
  <si>
    <t>U0089</t>
  </si>
  <si>
    <t>U0090</t>
  </si>
  <si>
    <t>Low Total Screen</t>
  </si>
  <si>
    <t>U0091</t>
  </si>
  <si>
    <t>U0092</t>
  </si>
  <si>
    <t>U0093</t>
  </si>
  <si>
    <t>U0094</t>
  </si>
  <si>
    <t>U0095</t>
  </si>
  <si>
    <t>High Total Screen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</si>
  <si>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</si>
  <si>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</si>
  <si>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</si>
  <si>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</si>
  <si>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</si>
  <si>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</si>
  <si>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</si>
  <si>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</si>
  <si>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</si>
  <si>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</si>
  <si>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</si>
  <si>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Exercise ↔ Mental Wellness for high total screen users</t>
  </si>
  <si>
    <t>U0107</t>
  </si>
  <si>
    <t>U0108</t>
  </si>
  <si>
    <t>U0109</t>
  </si>
  <si>
    <t>U0110</t>
  </si>
  <si>
    <t>Social Hours ↔ Mental Wellness for High Total Screen users</t>
  </si>
  <si>
    <t>U0111</t>
  </si>
  <si>
    <t>U0112</t>
  </si>
  <si>
    <t>U0113</t>
  </si>
  <si>
    <t>U0114</t>
  </si>
  <si>
    <t>U0115</t>
  </si>
  <si>
    <t>U0116</t>
  </si>
  <si>
    <t>Exercise Group - High screen participants</t>
  </si>
  <si>
    <t>U0117</t>
  </si>
  <si>
    <t>Lower Exercise (&lt;=103 minutes)</t>
  </si>
  <si>
    <t>U0118</t>
  </si>
  <si>
    <t>U0119</t>
  </si>
  <si>
    <t>U0120</t>
  </si>
  <si>
    <t>U0121</t>
  </si>
  <si>
    <t>U0122</t>
  </si>
  <si>
    <t>Higher Exercise (&gt;103 minutes)</t>
  </si>
  <si>
    <t>U0123</t>
  </si>
  <si>
    <t>U0124</t>
  </si>
  <si>
    <t>U0125</t>
  </si>
  <si>
    <t>U0126</t>
  </si>
  <si>
    <t>U0127</t>
  </si>
  <si>
    <t>U0128</t>
  </si>
  <si>
    <t>Social Group - High Screen Participants</t>
  </si>
  <si>
    <t>Participants Count</t>
  </si>
  <si>
    <t>U0129</t>
  </si>
  <si>
    <t>Average Mental Wellness</t>
  </si>
  <si>
    <t>U0130</t>
  </si>
  <si>
    <t>U0131</t>
  </si>
  <si>
    <t>Lower Social Hours (&lt;=7.75 hours)</t>
  </si>
  <si>
    <t>U0132</t>
  </si>
  <si>
    <t>U0133</t>
  </si>
  <si>
    <t>U0134</t>
  </si>
  <si>
    <t>U0135</t>
  </si>
  <si>
    <t>U0136</t>
  </si>
  <si>
    <t>U0137</t>
  </si>
  <si>
    <t>Higher Social hours(&gt;7.75 hours)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</si>
  <si>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</si>
  <si>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</si>
  <si>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</si>
  <si>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</si>
  <si>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</si>
  <si>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</si>
  <si>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</si>
  <si>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</si>
  <si>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</si>
  <si>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Other Factors Associated with Mental Wellness</t>
  </si>
  <si>
    <t>U0147</t>
  </si>
  <si>
    <t>U0148</t>
  </si>
  <si>
    <t>U0149</t>
  </si>
  <si>
    <t>Factor</t>
  </si>
  <si>
    <t>U0150</t>
  </si>
  <si>
    <t>Correlation (r)</t>
  </si>
  <si>
    <t>Interpretation</t>
  </si>
  <si>
    <t>U0151</t>
  </si>
  <si>
    <t>U0152</t>
  </si>
  <si>
    <t>U0153</t>
  </si>
  <si>
    <t>Sleep Hours ↔ Mental Wellness</t>
  </si>
  <si>
    <t>U0154</t>
  </si>
  <si>
    <t>U0155</t>
  </si>
  <si>
    <t>Sleep hours show a moderate positive association with mental wellness. Participants reporting more sleep tend to have higher mental-wellness scores.</t>
  </si>
  <si>
    <t>U0156</t>
  </si>
  <si>
    <t>U0157</t>
  </si>
  <si>
    <t>U0158</t>
  </si>
  <si>
    <t>Sleep Quality ↔ Mental Wellness</t>
  </si>
  <si>
    <t>U0159</t>
  </si>
  <si>
    <t>Sleep quality shows a strong positive association with mental wellness. Participants reporting better sleep quality tend to have higher mental-wellness scores</t>
  </si>
  <si>
    <t>U0160</t>
  </si>
  <si>
    <t>U0161</t>
  </si>
  <si>
    <t>Stress ↔ Mental Wellness</t>
  </si>
  <si>
    <t>U0162</t>
  </si>
  <si>
    <t>Stress shows a very strong negative association with mental wellness. Participants with higher stress scores tend to have substantially lower mental-wellness scores.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</si>
  <si>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</si>
  <si>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</si>
  <si>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</si>
  <si>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</si>
  <si>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</si>
  <si>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</si>
  <si>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</si>
  <si>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</si>
  <si>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</si>
  <si>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</si>
  <si>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</si>
  <si>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</si>
  <si>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</si>
  <si>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</si>
  <si>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</si>
  <si>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</si>
  <si>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</si>
  <si>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</si>
  <si>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</si>
  <si>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</si>
  <si>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</si>
  <si>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</si>
  <si>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</si>
  <si>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</si>
  <si>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</si>
  <si>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</si>
  <si>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</si>
  <si>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</si>
  <si>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</si>
  <si>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</si>
  <si>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</si>
  <si>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</si>
  <si>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</si>
  <si>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</si>
  <si>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</si>
  <si>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</si>
  <si>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</si>
  <si>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</si>
  <si>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</si>
  <si>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</si>
  <si>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</si>
  <si>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</si>
  <si>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</si>
  <si>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</si>
  <si>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</si>
  <si>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</si>
  <si>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</si>
  <si>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</si>
  <si>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</si>
  <si>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</si>
  <si>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</si>
  <si>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</si>
  <si>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</si>
  <si>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</si>
  <si>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</si>
  <si>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</si>
  <si>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</si>
  <si>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</si>
  <si>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</si>
  <si>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</si>
  <si>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</si>
  <si>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</si>
  <si>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</si>
  <si>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</si>
  <si>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</si>
  <si>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</si>
  <si>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</si>
  <si>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</si>
  <si>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</si>
  <si>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</si>
  <si>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</si>
  <si>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</si>
  <si>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</si>
  <si>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</si>
  <si>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</si>
  <si>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</si>
  <si>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</si>
  <si>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</si>
  <si>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</si>
  <si>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</si>
  <si>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</si>
  <si>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</si>
  <si>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</si>
  <si>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</si>
  <si>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</si>
  <si>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</si>
  <si>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</si>
  <si>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</si>
  <si>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</si>
  <si>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</si>
  <si>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</si>
  <si>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</si>
  <si>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</si>
  <si>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</si>
  <si>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</si>
  <si>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</si>
  <si>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</si>
  <si>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</si>
  <si>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</si>
  <si>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</si>
  <si>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</si>
  <si>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</si>
  <si>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</si>
  <si>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</si>
  <si>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</si>
  <si>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</si>
  <si>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</si>
  <si>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</si>
  <si>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</si>
  <si>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</si>
  <si>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</si>
  <si>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</si>
  <si>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</si>
  <si>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</si>
  <si>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</si>
  <si>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</si>
  <si>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</si>
  <si>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</si>
  <si>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</si>
  <si>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</si>
  <si>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</si>
  <si>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</si>
  <si>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</si>
  <si>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</si>
  <si>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</si>
  <si>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</si>
  <si>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</si>
  <si>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</si>
  <si>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</si>
  <si>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</si>
  <si>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</si>
  <si>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</si>
  <si>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</si>
  <si>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</si>
  <si>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Screen Time, Mental Wellness &amp; Productivity</t>
  </si>
  <si>
    <t>U0297</t>
  </si>
  <si>
    <t>Data Analysis Case Study | 400 Participants</t>
  </si>
  <si>
    <t>U0298</t>
  </si>
  <si>
    <t>U0299</t>
  </si>
  <si>
    <t>9.02 Hrs</t>
  </si>
  <si>
    <t>U0300</t>
  </si>
  <si>
    <t>Avg. Screen Time</t>
  </si>
  <si>
    <t>U0301</t>
  </si>
  <si>
    <t>Avg. Mental Welness</t>
  </si>
  <si>
    <t>Avg. Productivity</t>
  </si>
  <si>
    <t>U0302</t>
  </si>
  <si>
    <t>U0303</t>
  </si>
  <si>
    <t>KEY INSIGHTS</t>
  </si>
  <si>
    <t>Screen Time &amp; Productivity</t>
  </si>
  <si>
    <t>Higher total screen time was strongly negatively associated with productivity (r = -0.707).</t>
  </si>
  <si>
    <t>U0304</t>
  </si>
  <si>
    <t>Leisure Screen Time &amp; Wellness</t>
  </si>
  <si>
    <t>Higher leisure screen time was moderately negatively associated with mental wellness (r = -0.464).</t>
  </si>
  <si>
    <t>Low vs High Leisure Screen Use</t>
  </si>
  <si>
    <t>U0305</t>
  </si>
  <si>
    <t>The low-leisure-screen group averaged 27.61 in mental wellness versus 12.97 for the high-leisure-screen group.</t>
  </si>
  <si>
    <t>Stress &amp; Mental Wellness</t>
  </si>
  <si>
    <t>U0306</t>
  </si>
  <si>
    <t>Stress showed the strongest observed relationship with mental wellness (r = -0.914; R² = 0.835).</t>
  </si>
  <si>
    <t>Note: Relationships shown are associations and should not be interpreted as causal effects.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</si>
  <si>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</si>
  <si>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</si>
  <si>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</si>
  <si>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</si>
  <si>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</si>
  <si>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</si>
  <si>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</si>
  <si>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</si>
  <si>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</si>
  <si>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</si>
  <si>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</si>
  <si>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</si>
  <si>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</si>
  <si>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</si>
  <si>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</si>
  <si>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</si>
  <si>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</si>
  <si>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</si>
  <si>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</si>
  <si>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</si>
  <si>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</si>
  <si>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</si>
  <si>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</si>
  <si>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</si>
  <si>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</si>
  <si>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</si>
  <si>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</si>
  <si>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</si>
  <si>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</si>
  <si>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</si>
  <si>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</si>
  <si>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</si>
  <si>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</si>
  <si>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</si>
  <si>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</si>
  <si>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</si>
  <si>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</si>
  <si>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</si>
  <si>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</si>
  <si>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</si>
  <si>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</si>
  <si>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</si>
  <si>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</si>
  <si>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</si>
  <si>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</si>
  <si>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</si>
  <si>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</si>
  <si>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</si>
  <si>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</si>
  <si>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</si>
  <si>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</si>
  <si>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</si>
  <si>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</si>
  <si>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</si>
  <si>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</si>
  <si>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</si>
  <si>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</si>
  <si>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</si>
  <si>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</si>
  <si>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</si>
  <si>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</si>
  <si>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</si>
  <si>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</si>
  <si>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</si>
  <si>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</si>
  <si>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</si>
  <si>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</si>
  <si>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</si>
  <si>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</si>
  <si>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</si>
  <si>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</si>
  <si>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</si>
  <si>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</si>
  <si>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</si>
  <si>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</si>
  <si>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</si>
  <si>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</si>
  <si>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</si>
  <si>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</si>
  <si>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</si>
  <si>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</si>
  <si>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</si>
  <si>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</si>
  <si>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</si>
  <si>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</si>
  <si>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</si>
  <si>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</si>
  <si>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</si>
  <si>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</si>
  <si>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</si>
  <si>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</si>
  <si>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</si>
  <si>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</si>
  <si>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</si>
  <si>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Descriptive Statistics table</t>
  </si>
  <si>
    <t>Variable</t>
  </si>
  <si>
    <t>Mean</t>
  </si>
  <si>
    <t>Median</t>
  </si>
  <si>
    <t>Std Dev</t>
  </si>
  <si>
    <t>Min</t>
  </si>
  <si>
    <t>Max</t>
  </si>
  <si>
    <t>Total Screen Time</t>
  </si>
  <si>
    <t>Work Screen Time</t>
  </si>
  <si>
    <t>Leisure Screen Time</t>
  </si>
  <si>
    <t>Stress</t>
  </si>
  <si>
    <t>Exercise Minutes</t>
  </si>
  <si>
    <t>Social Hours</t>
  </si>
  <si>
    <t>Sleep Hours</t>
  </si>
  <si>
    <t>Sleep Quality</t>
  </si>
  <si>
    <t>Correlation Analysis</t>
  </si>
  <si>
    <t>Relationship</t>
  </si>
  <si>
    <t>Correlation</t>
  </si>
  <si>
    <t>Total Screen Time ↔ Mental Wellness</t>
  </si>
  <si>
    <t>Leisure Screen Time ↔ Mental Wellness</t>
  </si>
  <si>
    <t>Work Screen Time ↔ Mental Wellness</t>
  </si>
  <si>
    <t>Total Screen Time ↔ Productivity</t>
  </si>
  <si>
    <t>Leisure Screen Time ↔ Productivity</t>
  </si>
  <si>
    <t>Work Screen Time ↔ Productivity</t>
  </si>
  <si>
    <t>Exercise → Mental Wellness</t>
  </si>
  <si>
    <t>Social Hours → Mental Wellness</t>
  </si>
  <si>
    <t>Sleep Hours → Mental Wellness</t>
  </si>
  <si>
    <t>Sleep Quality → Mental Wellness</t>
  </si>
  <si>
    <t>Stress → Mental Wellness</t>
  </si>
  <si>
    <t>Lifestyle Factors and Mental Wellness</t>
  </si>
  <si>
    <t>Exercise ↔ Mental Wellness</t>
  </si>
  <si>
    <t>Social Hours ↔ Mental Wellness</t>
  </si>
  <si>
    <t>Visual Analysis</t>
  </si>
  <si>
    <t>Leisure Screen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</si>
</sst>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24.0"/>
      <color theme="1"/>
      <name val="Arial"/>
      <scheme val="minor"/>
    </font>
    <font>
      <sz val="12.0"/>
      <color theme="1"/>
      <name val="Arial"/>
      <scheme val="minor"/>
    </font>
    <font>
      <b/>
      <sz val="18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right" readingOrder="0"/>
    </xf>
    <xf borderId="1" fillId="0" fontId="1" numFmtId="10" xfId="0" applyAlignment="1" applyBorder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0" xfId="0" applyAlignment="1" applyFont="1" applyNumberForma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Screen Time vs Mental Wellness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'ScreenTime vs MentalWellness'!$O$1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'ScreenTime vs MentalWellness'!$F$2:$F$1000</c:f>
            </c:numRef>
          </c:xVal>
          <c:yVal>
            <c:numRef>
              <c:f>'ScreenTime vs MentalWellness'!$O$2:$O$1000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766852"/>
        <c:axId val="1045228097"/>
      </c:scatterChart>
      <c:valAx>
        <c:axId val="10077668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Screen Time (hours/day)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228097"/>
      </c:valAx>
      <c:valAx>
        <c:axId val="1045228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Mental Wellness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766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Leisure Screen Time vs Mental Wellness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'ScreenTime vs MentalWellness'!$O$1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'ScreenTime vs MentalWellness'!$H$2:$H$1000</c:f>
            </c:numRef>
          </c:xVal>
          <c:yVal>
            <c:numRef>
              <c:f>'ScreenTime vs MentalWellness'!$O$2:$O$1000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921949"/>
        <c:axId val="1878525942"/>
      </c:scatterChart>
      <c:valAx>
        <c:axId val="5579219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Leisure Screen Time (hours/day)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525942"/>
      </c:valAx>
      <c:valAx>
        <c:axId val="1878525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Mental Wellness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9219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Screen Time vs Productivity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'ScreenTime vs MentalWellness'!$L$1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'ScreenTime vs MentalWellness'!$F$2:$F$1000</c:f>
            </c:numRef>
          </c:xVal>
          <c:yVal>
            <c:numRef>
              <c:f>'ScreenTime vs MentalWellness'!$L$2:$L$1000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646880"/>
        <c:axId val="1018694179"/>
      </c:scatterChart>
      <c:valAx>
        <c:axId val="5226468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Screen Time (hours/day)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694179"/>
      </c:valAx>
      <c:valAx>
        <c:axId val="1018694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Productivity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646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Leisure Screen Time vs Productivity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'ScreenTime vs MentalWellness'!$L$1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'ScreenTime vs MentalWellness'!$H$2:$H$1000</c:f>
            </c:numRef>
          </c:xVal>
          <c:yVal>
            <c:numRef>
              <c:f>'ScreenTime vs MentalWellness'!$L$2:$L$1000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26336"/>
        <c:axId val="1500199411"/>
      </c:scatterChart>
      <c:valAx>
        <c:axId val="8113263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Leisure Screen Time (hours/day)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199411"/>
      </c:valAx>
      <c:valAx>
        <c:axId val="1500199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Productivity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3263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Mental Wellness and Productivity by Leisure Screen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charts!$B$74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charts!$A$75:$A$76</c:f>
            </c:strRef>
          </c:cat>
          <c:val>
            <c:numRef>
              <c:f>charts!$B$75:$B$76</c:f>
              <c:numCache/>
            </c:numRef>
          </c:val>
        </c:ser>
        <c:ser>
          <c:idx val="1"/>
          <c:order val="1"/>
          <c:tx>
            <c:strRef>
              <c:f>charts!$C$74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charts!$A$75:$A$76</c:f>
            </c:strRef>
          </c:cat>
          <c:val>
            <c:numRef>
              <c:f>charts!$C$75:$C$76</c:f>
              <c:numCache/>
            </c:numRef>
          </c:val>
        </c:ser>
        <c:axId val="1040843767"/>
        <c:axId val="25999772"/>
      </c:barChart>
      <c:catAx>
        <c:axId val="1040843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Leisure Screen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99772"/>
      </c:catAx>
      <c:valAx>
        <c:axId val="25999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8437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Stress vs Mental Wellness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'ScreenTime vs MentalWellness'!$O$1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'ScreenTime vs MentalWellness'!$K$2:$K$1000</c:f>
            </c:numRef>
          </c:xVal>
          <c:yVal>
            <c:numRef>
              <c:f>'ScreenTime vs MentalWellness'!$O$2:$O$1000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966365"/>
        <c:axId val="796810046"/>
      </c:scatterChart>
      <c:valAx>
        <c:axId val="16869663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Stress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810046"/>
      </c:valAx>
      <c:valAx>
        <c:axId val="796810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Mental Wellness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966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Screen Time vs Productivity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'ScreenTime vs MentalWellness'!$L$1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'ScreenTime vs MentalWellness'!$F$2:$F$1000</c:f>
            </c:numRef>
          </c:xVal>
          <c:yVal>
            <c:numRef>
              <c:f>'ScreenTime vs MentalWellness'!$L$2:$L$1000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117289"/>
        <c:axId val="910541457"/>
      </c:scatterChart>
      <c:valAx>
        <c:axId val="19721172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Screen Time (hours/day)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541457"/>
      </c:valAx>
      <c:valAx>
        <c:axId val="910541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Productivity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1172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Leisure Screen Time vs Mental Wellness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'ScreenTime vs MentalWellness'!$O$1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'ScreenTime vs MentalWellness'!$H$2:$H$1000</c:f>
            </c:numRef>
          </c:xVal>
          <c:yVal>
            <c:numRef>
              <c:f>'ScreenTime vs MentalWellness'!$O$2:$O$1000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732173"/>
        <c:axId val="1462094270"/>
      </c:scatterChart>
      <c:valAx>
        <c:axId val="17347321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Leisure Screen Time (hours/day)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094270"/>
      </c:valAx>
      <c:valAx>
        <c:axId val="1462094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Mental Wellness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7321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Mental Wellness and Productivity by Leisure Screen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charts!$B$74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charts!$A$75:$A$76</c:f>
            </c:strRef>
          </c:cat>
          <c:val>
            <c:numRef>
              <c:f>charts!$B$75:$B$76</c:f>
              <c:numCache/>
            </c:numRef>
          </c:val>
        </c:ser>
        <c:ser>
          <c:idx val="1"/>
          <c:order val="1"/>
          <c:tx>
            <c:strRef>
              <c:f>charts!$C$74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charts!$A$75:$A$76</c:f>
            </c:strRef>
          </c:cat>
          <c:val>
            <c:numRef>
              <c:f>charts!$C$75:$C$76</c:f>
              <c:numCache/>
            </c:numRef>
          </c:val>
        </c:ser>
        <c:axId val="306793626"/>
        <c:axId val="152947763"/>
      </c:barChart>
      <c:catAx>
        <c:axId val="306793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Leisure Screen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47763"/>
      </c:catAx>
      <c:valAx>
        <c:axId val="152947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793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Stress vs Mental Wellness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'ScreenTime vs MentalWellness'!$O$1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'ScreenTime vs MentalWellness'!$K$2:$K$1000</c:f>
            </c:numRef>
          </c:xVal>
          <c:yVal>
            <c:numRef>
              <c:f>'ScreenTime vs MentalWellness'!$O$2:$O$1000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853558"/>
        <c:axId val="643468503"/>
      </c:scatterChart>
      <c:valAx>
        <c:axId val="4698535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Stress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468503"/>
      </c:valAx>
      <c:valAx>
        <c:axId val="643468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Mental Wellness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853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39</xdr:row>
      <xdr:rowOff>85725</xdr:rowOff>
    </xdr:from>
    <xdr:ext cx="5143500" cy="3181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333375</xdr:colOff>
      <xdr:row>39</xdr:row>
      <xdr:rowOff>0</xdr:rowOff>
    </xdr:from>
    <xdr:ext cx="5286375" cy="32670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56</xdr:row>
      <xdr:rowOff>123825</xdr:rowOff>
    </xdr:from>
    <xdr:ext cx="4972050" cy="3076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333375</xdr:colOff>
      <xdr:row>56</xdr:row>
      <xdr:rowOff>104775</xdr:rowOff>
    </xdr:from>
    <xdr:ext cx="5076825" cy="31337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57150</xdr:colOff>
      <xdr:row>76</xdr:row>
      <xdr:rowOff>76200</xdr:rowOff>
    </xdr:from>
    <xdr:ext cx="5143500" cy="31813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857250</xdr:colOff>
      <xdr:row>76</xdr:row>
      <xdr:rowOff>0</xdr:rowOff>
    </xdr:from>
    <xdr:ext cx="5076825" cy="31337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171450</xdr:rowOff>
    </xdr:from>
    <xdr:ext cx="4972050" cy="3076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333375</xdr:colOff>
      <xdr:row>7</xdr:row>
      <xdr:rowOff>0</xdr:rowOff>
    </xdr:from>
    <xdr:ext cx="4914900" cy="3048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24</xdr:row>
      <xdr:rowOff>76200</xdr:rowOff>
    </xdr:from>
    <xdr:ext cx="4972050" cy="3181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333375</xdr:colOff>
      <xdr:row>24</xdr:row>
      <xdr:rowOff>0</xdr:rowOff>
    </xdr:from>
    <xdr:ext cx="4914900" cy="32575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33.0</v>
      </c>
      <c r="C2" s="1" t="s">
        <v>16</v>
      </c>
      <c r="D2" s="1" t="s">
        <v>17</v>
      </c>
      <c r="E2" s="1" t="s">
        <v>18</v>
      </c>
      <c r="F2" s="1">
        <v>10.79</v>
      </c>
      <c r="G2" s="1">
        <v>5.44</v>
      </c>
      <c r="H2" s="1">
        <v>5.35</v>
      </c>
      <c r="I2" s="1">
        <v>6.63</v>
      </c>
      <c r="J2" s="1">
        <v>1.0</v>
      </c>
      <c r="K2" s="1">
        <v>9.3</v>
      </c>
      <c r="L2" s="1">
        <v>44.7</v>
      </c>
      <c r="M2" s="1">
        <v>127.0</v>
      </c>
      <c r="N2" s="1">
        <v>0.7</v>
      </c>
      <c r="O2" s="1">
        <v>9.3</v>
      </c>
    </row>
    <row r="3">
      <c r="A3" s="1" t="s">
        <v>21</v>
      </c>
      <c r="B3" s="1">
        <v>28.0</v>
      </c>
      <c r="C3" s="1" t="s">
        <v>16</v>
      </c>
      <c r="D3" s="1" t="s">
        <v>17</v>
      </c>
      <c r="E3" s="1" t="s">
        <v>23</v>
      </c>
      <c r="F3" s="1">
        <v>7.4</v>
      </c>
      <c r="G3" s="1">
        <v>0.37</v>
      </c>
      <c r="H3" s="1">
        <v>7.03</v>
      </c>
      <c r="I3" s="1">
        <v>8.05</v>
      </c>
      <c r="J3" s="1">
        <v>3.0</v>
      </c>
      <c r="K3" s="1">
        <v>5.7</v>
      </c>
      <c r="L3" s="1">
        <v>78.0</v>
      </c>
      <c r="M3" s="1">
        <v>74.0</v>
      </c>
      <c r="N3" s="1">
        <v>2.1</v>
      </c>
      <c r="O3" s="1">
        <v>56.2</v>
      </c>
    </row>
    <row r="4">
      <c r="A4" s="1" t="s">
        <v>26</v>
      </c>
      <c r="B4" s="1">
        <v>35.0</v>
      </c>
      <c r="C4" s="1" t="s">
        <v>16</v>
      </c>
      <c r="D4" s="1" t="s">
        <v>17</v>
      </c>
      <c r="E4" s="1" t="s">
        <v>27</v>
      </c>
      <c r="F4" s="1">
        <v>9.78</v>
      </c>
      <c r="G4" s="1">
        <v>1.09</v>
      </c>
      <c r="H4" s="1">
        <v>8.69</v>
      </c>
      <c r="I4" s="1">
        <v>6.48</v>
      </c>
      <c r="J4" s="1">
        <v>1.0</v>
      </c>
      <c r="K4" s="1">
        <v>9.1</v>
      </c>
      <c r="L4" s="1">
        <v>51.8</v>
      </c>
      <c r="M4" s="1">
        <v>67.0</v>
      </c>
      <c r="N4" s="1">
        <v>8.0</v>
      </c>
      <c r="O4" s="1">
        <v>3.6</v>
      </c>
    </row>
    <row r="5">
      <c r="A5" s="1" t="s">
        <v>29</v>
      </c>
      <c r="B5" s="1">
        <v>42.0</v>
      </c>
      <c r="C5" s="1" t="s">
        <v>30</v>
      </c>
      <c r="D5" s="1" t="s">
        <v>17</v>
      </c>
      <c r="E5" s="1" t="s">
        <v>27</v>
      </c>
      <c r="F5" s="1">
        <v>11.13</v>
      </c>
      <c r="G5" s="1">
        <v>0.56</v>
      </c>
      <c r="H5" s="1">
        <v>10.57</v>
      </c>
      <c r="I5" s="1">
        <v>6.89</v>
      </c>
      <c r="J5" s="1">
        <v>1.0</v>
      </c>
      <c r="K5" s="1">
        <v>10.0</v>
      </c>
      <c r="L5" s="1">
        <v>37.0</v>
      </c>
      <c r="M5" s="1">
        <v>0.0</v>
      </c>
      <c r="N5" s="1">
        <v>5.7</v>
      </c>
      <c r="O5" s="1">
        <v>0.0</v>
      </c>
    </row>
    <row r="6">
      <c r="A6" s="1" t="s">
        <v>31</v>
      </c>
      <c r="B6" s="1">
        <v>28.0</v>
      </c>
      <c r="C6" s="1" t="s">
        <v>30</v>
      </c>
      <c r="D6" s="1" t="s">
        <v>32</v>
      </c>
      <c r="E6" s="1" t="s">
        <v>18</v>
      </c>
      <c r="F6" s="1">
        <v>13.22</v>
      </c>
      <c r="G6" s="1">
        <v>4.09</v>
      </c>
      <c r="H6" s="1">
        <v>9.13</v>
      </c>
      <c r="I6" s="1">
        <v>5.79</v>
      </c>
      <c r="J6" s="1">
        <v>1.0</v>
      </c>
      <c r="K6" s="1">
        <v>10.0</v>
      </c>
      <c r="L6" s="1">
        <v>38.5</v>
      </c>
      <c r="M6" s="1">
        <v>0.0</v>
      </c>
      <c r="N6" s="1">
        <v>10.1</v>
      </c>
      <c r="O6" s="1">
        <v>0.0</v>
      </c>
    </row>
    <row r="7">
      <c r="A7" s="1" t="s">
        <v>33</v>
      </c>
      <c r="B7" s="1">
        <v>28.0</v>
      </c>
      <c r="C7" s="1" t="s">
        <v>34</v>
      </c>
      <c r="D7" s="1" t="s">
        <v>35</v>
      </c>
      <c r="E7" s="1" t="s">
        <v>27</v>
      </c>
      <c r="F7" s="1">
        <v>9.83</v>
      </c>
      <c r="G7" s="1">
        <v>0.53</v>
      </c>
      <c r="H7" s="1">
        <v>9.3</v>
      </c>
      <c r="I7" s="1">
        <v>7.19</v>
      </c>
      <c r="J7" s="1">
        <v>1.0</v>
      </c>
      <c r="K7" s="1">
        <v>10.0</v>
      </c>
      <c r="L7" s="1">
        <v>44.0</v>
      </c>
      <c r="M7" s="1">
        <v>71.0</v>
      </c>
      <c r="N7" s="1">
        <v>10.3</v>
      </c>
      <c r="O7" s="1">
        <v>5.0</v>
      </c>
    </row>
    <row r="8">
      <c r="A8" s="1" t="s">
        <v>36</v>
      </c>
      <c r="B8" s="1">
        <v>42.0</v>
      </c>
      <c r="C8" s="1" t="s">
        <v>34</v>
      </c>
      <c r="D8" s="1" t="s">
        <v>37</v>
      </c>
      <c r="E8" s="1" t="s">
        <v>18</v>
      </c>
      <c r="F8" s="1">
        <v>6.02</v>
      </c>
      <c r="G8" s="1">
        <v>2.82</v>
      </c>
      <c r="H8" s="1">
        <v>3.2</v>
      </c>
      <c r="I8" s="1">
        <v>7.44</v>
      </c>
      <c r="J8" s="1">
        <v>2.0</v>
      </c>
      <c r="K8" s="1">
        <v>6.1</v>
      </c>
      <c r="L8" s="1">
        <v>64.8</v>
      </c>
      <c r="M8" s="1">
        <v>141.0</v>
      </c>
      <c r="N8" s="1">
        <v>4.7</v>
      </c>
      <c r="O8" s="1">
        <v>43.7</v>
      </c>
    </row>
    <row r="9">
      <c r="A9" s="1" t="s">
        <v>38</v>
      </c>
      <c r="B9" s="1">
        <v>36.0</v>
      </c>
      <c r="C9" s="1" t="s">
        <v>30</v>
      </c>
      <c r="D9" s="1" t="s">
        <v>17</v>
      </c>
      <c r="E9" s="1" t="s">
        <v>23</v>
      </c>
      <c r="F9" s="1">
        <v>6.21</v>
      </c>
      <c r="G9" s="1">
        <v>0.75</v>
      </c>
      <c r="H9" s="1">
        <v>5.46</v>
      </c>
      <c r="I9" s="1">
        <v>6.78</v>
      </c>
      <c r="J9" s="1">
        <v>2.0</v>
      </c>
      <c r="K9" s="1">
        <v>5.4</v>
      </c>
      <c r="L9" s="1">
        <v>87.0</v>
      </c>
      <c r="M9" s="1">
        <v>51.0</v>
      </c>
      <c r="N9" s="1">
        <v>18.7</v>
      </c>
      <c r="O9" s="1">
        <v>54.3</v>
      </c>
    </row>
    <row r="10">
      <c r="A10" s="1" t="s">
        <v>39</v>
      </c>
      <c r="B10" s="1">
        <v>26.0</v>
      </c>
      <c r="C10" s="1" t="s">
        <v>30</v>
      </c>
      <c r="D10" s="1" t="s">
        <v>32</v>
      </c>
      <c r="E10" s="1" t="s">
        <v>23</v>
      </c>
      <c r="F10" s="1">
        <v>6.28</v>
      </c>
      <c r="G10" s="1">
        <v>0.67</v>
      </c>
      <c r="H10" s="1">
        <v>5.61</v>
      </c>
      <c r="I10" s="1">
        <v>8.48</v>
      </c>
      <c r="J10" s="1">
        <v>4.0</v>
      </c>
      <c r="K10" s="1">
        <v>1.6</v>
      </c>
      <c r="L10" s="1">
        <v>91.7</v>
      </c>
      <c r="M10" s="1">
        <v>149.0</v>
      </c>
      <c r="N10" s="1">
        <v>10.1</v>
      </c>
      <c r="O10" s="1">
        <v>86.8</v>
      </c>
    </row>
    <row r="11">
      <c r="A11" s="1" t="s">
        <v>40</v>
      </c>
      <c r="B11" s="1">
        <v>34.0</v>
      </c>
      <c r="C11" s="1" t="s">
        <v>30</v>
      </c>
      <c r="D11" s="1" t="s">
        <v>17</v>
      </c>
      <c r="E11" s="1" t="s">
        <v>27</v>
      </c>
      <c r="F11" s="1">
        <v>9.37</v>
      </c>
      <c r="G11" s="1">
        <v>0.84</v>
      </c>
      <c r="H11" s="1">
        <v>8.53</v>
      </c>
      <c r="I11" s="1">
        <v>7.78</v>
      </c>
      <c r="J11" s="1">
        <v>2.0</v>
      </c>
      <c r="K11" s="1">
        <v>10.0</v>
      </c>
      <c r="L11" s="1">
        <v>42.2</v>
      </c>
      <c r="M11" s="1">
        <v>50.0</v>
      </c>
      <c r="N11" s="1">
        <v>12.7</v>
      </c>
      <c r="O11" s="1">
        <v>10.7</v>
      </c>
    </row>
    <row r="12">
      <c r="A12" s="1" t="s">
        <v>41</v>
      </c>
      <c r="B12" s="1">
        <v>26.0</v>
      </c>
      <c r="C12" s="1" t="s">
        <v>30</v>
      </c>
      <c r="D12" s="1" t="s">
        <v>32</v>
      </c>
      <c r="E12" s="1" t="s">
        <v>18</v>
      </c>
      <c r="F12" s="1">
        <v>9.87</v>
      </c>
      <c r="G12" s="1">
        <v>3.02</v>
      </c>
      <c r="H12" s="1">
        <v>6.85</v>
      </c>
      <c r="I12" s="1">
        <v>6.4</v>
      </c>
      <c r="J12" s="1">
        <v>1.0</v>
      </c>
      <c r="K12" s="1">
        <v>8.8</v>
      </c>
      <c r="L12" s="1">
        <v>55.9</v>
      </c>
      <c r="M12" s="1">
        <v>87.0</v>
      </c>
      <c r="N12" s="1">
        <v>6.2</v>
      </c>
      <c r="O12" s="1">
        <v>21.8</v>
      </c>
    </row>
    <row r="13">
      <c r="A13" s="1" t="s">
        <v>42</v>
      </c>
      <c r="B13" s="1">
        <v>26.0</v>
      </c>
      <c r="C13" s="1" t="s">
        <v>16</v>
      </c>
      <c r="D13" s="1" t="s">
        <v>43</v>
      </c>
      <c r="E13" s="1" t="s">
        <v>27</v>
      </c>
      <c r="F13" s="1">
        <v>4.96</v>
      </c>
      <c r="G13" s="1">
        <v>0.25</v>
      </c>
      <c r="H13" s="1">
        <v>4.71</v>
      </c>
      <c r="I13" s="1">
        <v>8.01</v>
      </c>
      <c r="J13" s="1">
        <v>3.0</v>
      </c>
      <c r="K13" s="1">
        <v>4.6</v>
      </c>
      <c r="L13" s="1">
        <v>88.4</v>
      </c>
      <c r="M13" s="1">
        <v>188.0</v>
      </c>
      <c r="N13" s="1">
        <v>12.5</v>
      </c>
      <c r="O13" s="1">
        <v>74.3</v>
      </c>
    </row>
    <row r="14">
      <c r="A14" s="1" t="s">
        <v>44</v>
      </c>
      <c r="B14" s="1">
        <v>31.0</v>
      </c>
      <c r="C14" s="1" t="s">
        <v>16</v>
      </c>
      <c r="D14" s="1" t="s">
        <v>32</v>
      </c>
      <c r="E14" s="1" t="s">
        <v>18</v>
      </c>
      <c r="F14" s="1">
        <v>12.55</v>
      </c>
      <c r="G14" s="1">
        <v>6.8</v>
      </c>
      <c r="H14" s="1">
        <v>5.75</v>
      </c>
      <c r="I14" s="1">
        <v>6.96</v>
      </c>
      <c r="J14" s="1">
        <v>1.0</v>
      </c>
      <c r="K14" s="1">
        <v>10.0</v>
      </c>
      <c r="L14" s="1">
        <v>33.0</v>
      </c>
      <c r="M14" s="1">
        <v>139.0</v>
      </c>
      <c r="N14" s="1">
        <v>11.3</v>
      </c>
      <c r="O14" s="1">
        <v>0.0</v>
      </c>
    </row>
    <row r="15">
      <c r="A15" s="1" t="s">
        <v>45</v>
      </c>
      <c r="B15" s="1">
        <v>16.0</v>
      </c>
      <c r="C15" s="1" t="s">
        <v>16</v>
      </c>
      <c r="D15" s="1" t="s">
        <v>17</v>
      </c>
      <c r="E15" s="1" t="s">
        <v>18</v>
      </c>
      <c r="F15" s="1">
        <v>7.86</v>
      </c>
      <c r="G15" s="1">
        <v>4.33</v>
      </c>
      <c r="H15" s="1">
        <v>3.53</v>
      </c>
      <c r="I15" s="1">
        <v>7.59</v>
      </c>
      <c r="J15" s="1">
        <v>2.0</v>
      </c>
      <c r="K15" s="1">
        <v>6.3</v>
      </c>
      <c r="L15" s="1">
        <v>70.7</v>
      </c>
      <c r="M15" s="1">
        <v>102.0</v>
      </c>
      <c r="N15" s="1">
        <v>8.6</v>
      </c>
      <c r="O15" s="1">
        <v>40.9</v>
      </c>
    </row>
    <row r="16">
      <c r="A16" s="1" t="s">
        <v>46</v>
      </c>
      <c r="B16" s="1">
        <v>16.0</v>
      </c>
      <c r="C16" s="1" t="s">
        <v>30</v>
      </c>
      <c r="D16" s="1" t="s">
        <v>17</v>
      </c>
      <c r="E16" s="1" t="s">
        <v>27</v>
      </c>
      <c r="F16" s="1">
        <v>9.07</v>
      </c>
      <c r="G16" s="1">
        <v>0.79</v>
      </c>
      <c r="H16" s="1">
        <v>8.28</v>
      </c>
      <c r="I16" s="1">
        <v>5.54</v>
      </c>
      <c r="J16" s="1">
        <v>1.0</v>
      </c>
      <c r="K16" s="1">
        <v>10.0</v>
      </c>
      <c r="L16" s="1">
        <v>53.2</v>
      </c>
      <c r="M16" s="1">
        <v>0.0</v>
      </c>
      <c r="N16" s="1">
        <v>0.0</v>
      </c>
      <c r="O16" s="1">
        <v>10.7</v>
      </c>
    </row>
    <row r="17">
      <c r="A17" s="1" t="s">
        <v>47</v>
      </c>
      <c r="B17" s="1">
        <v>25.0</v>
      </c>
      <c r="C17" s="1" t="s">
        <v>30</v>
      </c>
      <c r="D17" s="1" t="s">
        <v>17</v>
      </c>
      <c r="E17" s="1" t="s">
        <v>27</v>
      </c>
      <c r="F17" s="1">
        <v>13.49</v>
      </c>
      <c r="G17" s="1">
        <v>2.82</v>
      </c>
      <c r="H17" s="1">
        <v>10.67</v>
      </c>
      <c r="I17" s="1">
        <v>7.13</v>
      </c>
      <c r="J17" s="1">
        <v>1.0</v>
      </c>
      <c r="K17" s="1">
        <v>10.0</v>
      </c>
      <c r="L17" s="1">
        <v>37.6</v>
      </c>
      <c r="M17" s="1">
        <v>284.0</v>
      </c>
      <c r="N17" s="1">
        <v>2.8</v>
      </c>
      <c r="O17" s="1">
        <v>0.0</v>
      </c>
    </row>
    <row r="18">
      <c r="A18" s="1" t="s">
        <v>48</v>
      </c>
      <c r="B18" s="1">
        <v>21.0</v>
      </c>
      <c r="C18" s="1" t="s">
        <v>16</v>
      </c>
      <c r="D18" s="1" t="s">
        <v>17</v>
      </c>
      <c r="E18" s="1" t="s">
        <v>23</v>
      </c>
      <c r="F18" s="1">
        <v>8.86</v>
      </c>
      <c r="G18" s="1">
        <v>0.82</v>
      </c>
      <c r="H18" s="1">
        <v>8.04</v>
      </c>
      <c r="I18" s="1">
        <v>6.53</v>
      </c>
      <c r="J18" s="1">
        <v>1.0</v>
      </c>
      <c r="K18" s="1">
        <v>10.0</v>
      </c>
      <c r="L18" s="1">
        <v>60.3</v>
      </c>
      <c r="M18" s="1">
        <v>223.0</v>
      </c>
      <c r="N18" s="1">
        <v>13.1</v>
      </c>
      <c r="O18" s="1">
        <v>10.5</v>
      </c>
    </row>
    <row r="19">
      <c r="A19" s="1" t="s">
        <v>49</v>
      </c>
      <c r="B19" s="1">
        <v>32.0</v>
      </c>
      <c r="C19" s="1" t="s">
        <v>30</v>
      </c>
      <c r="D19" s="1" t="s">
        <v>35</v>
      </c>
      <c r="E19" s="1" t="s">
        <v>27</v>
      </c>
      <c r="F19" s="1">
        <v>7.13</v>
      </c>
      <c r="G19" s="1">
        <v>0.82</v>
      </c>
      <c r="H19" s="1">
        <v>6.31</v>
      </c>
      <c r="I19" s="1">
        <v>7.06</v>
      </c>
      <c r="J19" s="1">
        <v>1.0</v>
      </c>
      <c r="K19" s="1">
        <v>7.0</v>
      </c>
      <c r="L19" s="1">
        <v>49.0</v>
      </c>
      <c r="M19" s="1">
        <v>167.0</v>
      </c>
      <c r="N19" s="1">
        <v>11.6</v>
      </c>
      <c r="O19" s="1">
        <v>29.5</v>
      </c>
    </row>
    <row r="20">
      <c r="A20" s="1" t="s">
        <v>50</v>
      </c>
      <c r="B20" s="1">
        <v>22.0</v>
      </c>
      <c r="C20" s="1" t="s">
        <v>30</v>
      </c>
      <c r="D20" s="1" t="s">
        <v>32</v>
      </c>
      <c r="E20" s="1" t="s">
        <v>27</v>
      </c>
      <c r="F20" s="1">
        <v>8.18</v>
      </c>
      <c r="G20" s="1">
        <v>0.7</v>
      </c>
      <c r="H20" s="1">
        <v>7.48</v>
      </c>
      <c r="I20" s="1">
        <v>9.2</v>
      </c>
      <c r="J20" s="1">
        <v>3.0</v>
      </c>
      <c r="K20" s="1">
        <v>4.2</v>
      </c>
      <c r="L20" s="1">
        <v>85.1</v>
      </c>
      <c r="M20" s="1">
        <v>52.0</v>
      </c>
      <c r="N20" s="1">
        <v>11.2</v>
      </c>
      <c r="O20" s="1">
        <v>68.9</v>
      </c>
    </row>
    <row r="21">
      <c r="A21" s="1" t="s">
        <v>51</v>
      </c>
      <c r="B21" s="1">
        <v>18.0</v>
      </c>
      <c r="C21" s="1" t="s">
        <v>16</v>
      </c>
      <c r="D21" s="1" t="s">
        <v>32</v>
      </c>
      <c r="E21" s="1" t="s">
        <v>18</v>
      </c>
      <c r="F21" s="1">
        <v>10.26</v>
      </c>
      <c r="G21" s="1">
        <v>5.73</v>
      </c>
      <c r="H21" s="1">
        <v>4.53</v>
      </c>
      <c r="I21" s="1">
        <v>6.98</v>
      </c>
      <c r="J21" s="1">
        <v>1.0</v>
      </c>
      <c r="K21" s="1">
        <v>9.4</v>
      </c>
      <c r="L21" s="1">
        <v>52.0</v>
      </c>
      <c r="M21" s="1">
        <v>82.0</v>
      </c>
      <c r="N21" s="1">
        <v>1.5</v>
      </c>
      <c r="O21" s="1">
        <v>10.8</v>
      </c>
    </row>
    <row r="22">
      <c r="A22" s="1" t="s">
        <v>52</v>
      </c>
      <c r="B22" s="1">
        <v>41.0</v>
      </c>
      <c r="C22" s="1" t="s">
        <v>16</v>
      </c>
      <c r="D22" s="1" t="s">
        <v>32</v>
      </c>
      <c r="E22" s="1" t="s">
        <v>18</v>
      </c>
      <c r="F22" s="1">
        <v>10.14</v>
      </c>
      <c r="G22" s="1">
        <v>3.29</v>
      </c>
      <c r="H22" s="1">
        <v>6.85</v>
      </c>
      <c r="I22" s="1">
        <v>6.68</v>
      </c>
      <c r="J22" s="1">
        <v>1.0</v>
      </c>
      <c r="K22" s="1">
        <v>10.0</v>
      </c>
      <c r="L22" s="1">
        <v>48.1</v>
      </c>
      <c r="M22" s="1">
        <v>65.0</v>
      </c>
      <c r="N22" s="1">
        <v>2.8</v>
      </c>
      <c r="O22" s="1">
        <v>0.0</v>
      </c>
    </row>
    <row r="23">
      <c r="A23" s="1" t="s">
        <v>53</v>
      </c>
      <c r="B23" s="1">
        <v>28.0</v>
      </c>
      <c r="C23" s="1" t="s">
        <v>30</v>
      </c>
      <c r="D23" s="1" t="s">
        <v>43</v>
      </c>
      <c r="E23" s="1" t="s">
        <v>18</v>
      </c>
      <c r="F23" s="1">
        <v>7.52</v>
      </c>
      <c r="G23" s="1">
        <v>2.89</v>
      </c>
      <c r="H23" s="1">
        <v>4.63</v>
      </c>
      <c r="I23" s="1">
        <v>5.49</v>
      </c>
      <c r="J23" s="1">
        <v>1.0</v>
      </c>
      <c r="K23" s="1">
        <v>8.1</v>
      </c>
      <c r="L23" s="1">
        <v>53.1</v>
      </c>
      <c r="M23" s="1">
        <v>200.0</v>
      </c>
      <c r="N23" s="1">
        <v>13.2</v>
      </c>
      <c r="O23" s="1">
        <v>18.2</v>
      </c>
    </row>
    <row r="24">
      <c r="A24" s="1" t="s">
        <v>54</v>
      </c>
      <c r="B24" s="1">
        <v>30.0</v>
      </c>
      <c r="C24" s="1" t="s">
        <v>30</v>
      </c>
      <c r="D24" s="1" t="s">
        <v>35</v>
      </c>
      <c r="E24" s="1" t="s">
        <v>23</v>
      </c>
      <c r="F24" s="1">
        <v>7.67</v>
      </c>
      <c r="G24" s="1">
        <v>1.65</v>
      </c>
      <c r="H24" s="1">
        <v>6.02</v>
      </c>
      <c r="I24" s="1">
        <v>8.36</v>
      </c>
      <c r="J24" s="1">
        <v>3.0</v>
      </c>
      <c r="K24" s="1">
        <v>5.1</v>
      </c>
      <c r="L24" s="1">
        <v>76.4</v>
      </c>
      <c r="M24" s="1">
        <v>130.0</v>
      </c>
      <c r="N24" s="1">
        <v>8.9</v>
      </c>
      <c r="O24" s="1">
        <v>53.5</v>
      </c>
    </row>
    <row r="25">
      <c r="A25" s="1" t="s">
        <v>55</v>
      </c>
      <c r="B25" s="1">
        <v>18.0</v>
      </c>
      <c r="C25" s="1" t="s">
        <v>30</v>
      </c>
      <c r="D25" s="1" t="s">
        <v>17</v>
      </c>
      <c r="E25" s="1" t="s">
        <v>18</v>
      </c>
      <c r="F25" s="1">
        <v>5.74</v>
      </c>
      <c r="G25" s="1">
        <v>2.33</v>
      </c>
      <c r="H25" s="1">
        <v>3.41</v>
      </c>
      <c r="I25" s="1">
        <v>6.34</v>
      </c>
      <c r="J25" s="1">
        <v>1.0</v>
      </c>
      <c r="K25" s="1">
        <v>3.7</v>
      </c>
      <c r="L25" s="1">
        <v>77.3</v>
      </c>
      <c r="M25" s="1">
        <v>63.0</v>
      </c>
      <c r="N25" s="1">
        <v>17.6</v>
      </c>
      <c r="O25" s="1">
        <v>48.7</v>
      </c>
    </row>
    <row r="26">
      <c r="A26" s="1" t="s">
        <v>56</v>
      </c>
      <c r="B26" s="1">
        <v>25.0</v>
      </c>
      <c r="C26" s="1" t="s">
        <v>30</v>
      </c>
      <c r="D26" s="1" t="s">
        <v>17</v>
      </c>
      <c r="E26" s="1" t="s">
        <v>23</v>
      </c>
      <c r="F26" s="1">
        <v>8.93</v>
      </c>
      <c r="G26" s="1">
        <v>0.45</v>
      </c>
      <c r="H26" s="1">
        <v>8.48</v>
      </c>
      <c r="I26" s="1">
        <v>6.21</v>
      </c>
      <c r="J26" s="1">
        <v>1.0</v>
      </c>
      <c r="K26" s="1">
        <v>9.8</v>
      </c>
      <c r="L26" s="1">
        <v>50.3</v>
      </c>
      <c r="M26" s="1">
        <v>69.0</v>
      </c>
      <c r="N26" s="1">
        <v>8.5</v>
      </c>
      <c r="O26" s="1">
        <v>0.7</v>
      </c>
    </row>
    <row r="27">
      <c r="A27" s="1" t="s">
        <v>57</v>
      </c>
      <c r="B27" s="1">
        <v>30.0</v>
      </c>
      <c r="C27" s="1" t="s">
        <v>30</v>
      </c>
      <c r="D27" s="1" t="s">
        <v>17</v>
      </c>
      <c r="E27" s="1" t="s">
        <v>27</v>
      </c>
      <c r="F27" s="1">
        <v>7.05</v>
      </c>
      <c r="G27" s="1">
        <v>0.8</v>
      </c>
      <c r="H27" s="1">
        <v>6.25</v>
      </c>
      <c r="I27" s="1">
        <v>7.08</v>
      </c>
      <c r="J27" s="1">
        <v>1.0</v>
      </c>
      <c r="K27" s="1">
        <v>10.0</v>
      </c>
      <c r="L27" s="1">
        <v>51.0</v>
      </c>
      <c r="M27" s="1">
        <v>194.0</v>
      </c>
      <c r="N27" s="1">
        <v>8.6</v>
      </c>
      <c r="O27" s="1">
        <v>1.8</v>
      </c>
    </row>
    <row r="28">
      <c r="A28" s="1" t="s">
        <v>58</v>
      </c>
      <c r="B28" s="1">
        <v>20.0</v>
      </c>
      <c r="C28" s="1" t="s">
        <v>30</v>
      </c>
      <c r="D28" s="1" t="s">
        <v>32</v>
      </c>
      <c r="E28" s="1" t="s">
        <v>18</v>
      </c>
      <c r="F28" s="1">
        <v>11.3</v>
      </c>
      <c r="G28" s="1">
        <v>5.17</v>
      </c>
      <c r="H28" s="1">
        <v>6.13</v>
      </c>
      <c r="I28" s="1">
        <v>7.74</v>
      </c>
      <c r="J28" s="1">
        <v>2.0</v>
      </c>
      <c r="K28" s="1">
        <v>10.0</v>
      </c>
      <c r="L28" s="1">
        <v>53.3</v>
      </c>
      <c r="M28" s="1">
        <v>197.0</v>
      </c>
      <c r="N28" s="1">
        <v>7.4</v>
      </c>
      <c r="O28" s="1">
        <v>4.6</v>
      </c>
    </row>
    <row r="29">
      <c r="A29" s="1" t="s">
        <v>59</v>
      </c>
      <c r="B29" s="1">
        <v>33.0</v>
      </c>
      <c r="C29" s="1" t="s">
        <v>30</v>
      </c>
      <c r="D29" s="1" t="s">
        <v>43</v>
      </c>
      <c r="E29" s="1" t="s">
        <v>23</v>
      </c>
      <c r="F29" s="1">
        <v>6.61</v>
      </c>
      <c r="G29" s="1">
        <v>0.33</v>
      </c>
      <c r="H29" s="1">
        <v>6.28</v>
      </c>
      <c r="I29" s="1">
        <v>8.06</v>
      </c>
      <c r="J29" s="1">
        <v>2.0</v>
      </c>
      <c r="K29" s="1">
        <v>7.0</v>
      </c>
      <c r="L29" s="1">
        <v>60.0</v>
      </c>
      <c r="M29" s="1">
        <v>227.0</v>
      </c>
      <c r="N29" s="1">
        <v>3.5</v>
      </c>
      <c r="O29" s="1">
        <v>42.8</v>
      </c>
    </row>
    <row r="30">
      <c r="A30" s="1" t="s">
        <v>60</v>
      </c>
      <c r="B30" s="1">
        <v>25.0</v>
      </c>
      <c r="C30" s="1" t="s">
        <v>30</v>
      </c>
      <c r="D30" s="1" t="s">
        <v>17</v>
      </c>
      <c r="E30" s="1" t="s">
        <v>27</v>
      </c>
      <c r="F30" s="1">
        <v>7.43</v>
      </c>
      <c r="G30" s="1">
        <v>0.73</v>
      </c>
      <c r="H30" s="1">
        <v>6.7</v>
      </c>
      <c r="I30" s="1">
        <v>7.11</v>
      </c>
      <c r="J30" s="1">
        <v>2.0</v>
      </c>
      <c r="K30" s="1">
        <v>7.6</v>
      </c>
      <c r="L30" s="1">
        <v>61.1</v>
      </c>
      <c r="M30" s="1">
        <v>164.0</v>
      </c>
      <c r="N30" s="1">
        <v>0.0</v>
      </c>
      <c r="O30" s="1">
        <v>28.9</v>
      </c>
    </row>
    <row r="31">
      <c r="A31" s="1" t="s">
        <v>61</v>
      </c>
      <c r="B31" s="1">
        <v>27.0</v>
      </c>
      <c r="C31" s="1" t="s">
        <v>16</v>
      </c>
      <c r="D31" s="1" t="s">
        <v>17</v>
      </c>
      <c r="E31" s="1" t="s">
        <v>23</v>
      </c>
      <c r="F31" s="1">
        <v>9.57</v>
      </c>
      <c r="G31" s="1">
        <v>0.48</v>
      </c>
      <c r="H31" s="1">
        <v>9.09</v>
      </c>
      <c r="I31" s="1">
        <v>7.18</v>
      </c>
      <c r="J31" s="1">
        <v>1.0</v>
      </c>
      <c r="K31" s="1">
        <v>10.0</v>
      </c>
      <c r="L31" s="1">
        <v>38.0</v>
      </c>
      <c r="M31" s="1">
        <v>81.0</v>
      </c>
      <c r="N31" s="1">
        <v>9.1</v>
      </c>
      <c r="O31" s="1">
        <v>0.9</v>
      </c>
    </row>
    <row r="32">
      <c r="A32" s="1" t="s">
        <v>62</v>
      </c>
      <c r="B32" s="1">
        <v>25.0</v>
      </c>
      <c r="C32" s="1" t="s">
        <v>16</v>
      </c>
      <c r="D32" s="1" t="s">
        <v>17</v>
      </c>
      <c r="E32" s="1" t="s">
        <v>23</v>
      </c>
      <c r="F32" s="1">
        <v>6.37</v>
      </c>
      <c r="G32" s="1">
        <v>0.78</v>
      </c>
      <c r="H32" s="1">
        <v>5.59</v>
      </c>
      <c r="I32" s="1">
        <v>6.91</v>
      </c>
      <c r="J32" s="1">
        <v>1.0</v>
      </c>
      <c r="K32" s="1">
        <v>8.5</v>
      </c>
      <c r="L32" s="1">
        <v>52.1</v>
      </c>
      <c r="M32" s="1">
        <v>0.0</v>
      </c>
      <c r="N32" s="1">
        <v>8.9</v>
      </c>
      <c r="O32" s="1">
        <v>11.1</v>
      </c>
    </row>
    <row r="33">
      <c r="A33" s="1" t="s">
        <v>63</v>
      </c>
      <c r="B33" s="1">
        <v>44.0</v>
      </c>
      <c r="C33" s="1" t="s">
        <v>16</v>
      </c>
      <c r="D33" s="1" t="s">
        <v>32</v>
      </c>
      <c r="E33" s="1" t="s">
        <v>18</v>
      </c>
      <c r="F33" s="1">
        <v>14.35</v>
      </c>
      <c r="G33" s="1">
        <v>7.54</v>
      </c>
      <c r="H33" s="1">
        <v>6.81</v>
      </c>
      <c r="I33" s="1">
        <v>6.5</v>
      </c>
      <c r="J33" s="1">
        <v>1.0</v>
      </c>
      <c r="K33" s="1">
        <v>10.0</v>
      </c>
      <c r="L33" s="1">
        <v>42.6</v>
      </c>
      <c r="M33" s="1">
        <v>100.0</v>
      </c>
      <c r="N33" s="1">
        <v>5.1</v>
      </c>
      <c r="O33" s="1">
        <v>0.0</v>
      </c>
    </row>
    <row r="34">
      <c r="A34" s="1" t="s">
        <v>64</v>
      </c>
      <c r="B34" s="1">
        <v>29.0</v>
      </c>
      <c r="C34" s="1" t="s">
        <v>30</v>
      </c>
      <c r="D34" s="1" t="s">
        <v>32</v>
      </c>
      <c r="E34" s="1" t="s">
        <v>18</v>
      </c>
      <c r="F34" s="1">
        <v>6.89</v>
      </c>
      <c r="G34" s="1">
        <v>1.25</v>
      </c>
      <c r="H34" s="1">
        <v>5.64</v>
      </c>
      <c r="I34" s="1">
        <v>7.42</v>
      </c>
      <c r="J34" s="1">
        <v>1.0</v>
      </c>
      <c r="K34" s="1">
        <v>7.0</v>
      </c>
      <c r="L34" s="1">
        <v>60.3</v>
      </c>
      <c r="M34" s="1">
        <v>116.0</v>
      </c>
      <c r="N34" s="1">
        <v>0.2</v>
      </c>
      <c r="O34" s="1">
        <v>17.2</v>
      </c>
    </row>
    <row r="35">
      <c r="A35" s="1" t="s">
        <v>65</v>
      </c>
      <c r="B35" s="1">
        <v>21.0</v>
      </c>
      <c r="C35" s="1" t="s">
        <v>30</v>
      </c>
      <c r="D35" s="1" t="s">
        <v>17</v>
      </c>
      <c r="E35" s="1" t="s">
        <v>27</v>
      </c>
      <c r="F35" s="1">
        <v>11.38</v>
      </c>
      <c r="G35" s="1">
        <v>0.57</v>
      </c>
      <c r="H35" s="1">
        <v>10.81</v>
      </c>
      <c r="I35" s="1">
        <v>7.38</v>
      </c>
      <c r="J35" s="1">
        <v>1.0</v>
      </c>
      <c r="K35" s="1">
        <v>9.9</v>
      </c>
      <c r="L35" s="1">
        <v>57.0</v>
      </c>
      <c r="M35" s="1">
        <v>95.0</v>
      </c>
      <c r="N35" s="1">
        <v>11.4</v>
      </c>
      <c r="O35" s="1">
        <v>2.4</v>
      </c>
    </row>
    <row r="36">
      <c r="A36" s="1" t="s">
        <v>66</v>
      </c>
      <c r="B36" s="1">
        <v>36.0</v>
      </c>
      <c r="C36" s="1" t="s">
        <v>30</v>
      </c>
      <c r="D36" s="1" t="s">
        <v>32</v>
      </c>
      <c r="E36" s="1" t="s">
        <v>23</v>
      </c>
      <c r="F36" s="1">
        <v>13.05</v>
      </c>
      <c r="G36" s="1">
        <v>0.65</v>
      </c>
      <c r="H36" s="1">
        <v>12.4</v>
      </c>
      <c r="I36" s="1">
        <v>7.28</v>
      </c>
      <c r="J36" s="1">
        <v>1.0</v>
      </c>
      <c r="K36" s="1">
        <v>10.0</v>
      </c>
      <c r="L36" s="1">
        <v>39.6</v>
      </c>
      <c r="M36" s="1">
        <v>86.0</v>
      </c>
      <c r="N36" s="1">
        <v>4.2</v>
      </c>
      <c r="O36" s="1">
        <v>0.0</v>
      </c>
    </row>
    <row r="37">
      <c r="A37" s="1" t="s">
        <v>69</v>
      </c>
      <c r="B37" s="1">
        <v>20.0</v>
      </c>
      <c r="C37" s="1" t="s">
        <v>16</v>
      </c>
      <c r="D37" s="1" t="s">
        <v>17</v>
      </c>
      <c r="E37" s="1" t="s">
        <v>18</v>
      </c>
      <c r="F37" s="1">
        <v>7.47</v>
      </c>
      <c r="G37" s="1">
        <v>3.01</v>
      </c>
      <c r="H37" s="1">
        <v>4.46</v>
      </c>
      <c r="I37" s="1">
        <v>7.57</v>
      </c>
      <c r="J37" s="1">
        <v>1.0</v>
      </c>
      <c r="K37" s="1">
        <v>8.4</v>
      </c>
      <c r="L37" s="1">
        <v>53.6</v>
      </c>
      <c r="M37" s="1">
        <v>15.0</v>
      </c>
      <c r="N37" s="1">
        <v>14.3</v>
      </c>
      <c r="O37" s="1">
        <v>14.8</v>
      </c>
    </row>
    <row r="38">
      <c r="A38" s="1" t="s">
        <v>71</v>
      </c>
      <c r="B38" s="1">
        <v>31.0</v>
      </c>
      <c r="C38" s="1" t="s">
        <v>16</v>
      </c>
      <c r="D38" s="1" t="s">
        <v>32</v>
      </c>
      <c r="E38" s="1" t="s">
        <v>27</v>
      </c>
      <c r="F38" s="1">
        <v>9.93</v>
      </c>
      <c r="G38" s="1">
        <v>1.89</v>
      </c>
      <c r="H38" s="1">
        <v>8.04</v>
      </c>
      <c r="I38" s="1">
        <v>6.63</v>
      </c>
      <c r="J38" s="1">
        <v>1.0</v>
      </c>
      <c r="K38" s="1">
        <v>9.5</v>
      </c>
      <c r="L38" s="1">
        <v>45.7</v>
      </c>
      <c r="M38" s="1">
        <v>138.0</v>
      </c>
      <c r="N38" s="1">
        <v>15.2</v>
      </c>
      <c r="O38" s="1">
        <v>2.2</v>
      </c>
    </row>
    <row r="39">
      <c r="A39" s="1" t="s">
        <v>72</v>
      </c>
      <c r="B39" s="1">
        <v>16.0</v>
      </c>
      <c r="C39" s="1" t="s">
        <v>16</v>
      </c>
      <c r="D39" s="1" t="s">
        <v>17</v>
      </c>
      <c r="E39" s="1" t="s">
        <v>27</v>
      </c>
      <c r="F39" s="1">
        <v>8.08</v>
      </c>
      <c r="G39" s="1">
        <v>1.25</v>
      </c>
      <c r="H39" s="1">
        <v>6.83</v>
      </c>
      <c r="I39" s="1">
        <v>7.64</v>
      </c>
      <c r="J39" s="1">
        <v>3.0</v>
      </c>
      <c r="K39" s="1">
        <v>6.5</v>
      </c>
      <c r="L39" s="1">
        <v>68.1</v>
      </c>
      <c r="M39" s="1">
        <v>147.0</v>
      </c>
      <c r="N39" s="1">
        <v>0.0</v>
      </c>
      <c r="O39" s="1">
        <v>57.6</v>
      </c>
    </row>
    <row r="40">
      <c r="A40" s="1" t="s">
        <v>73</v>
      </c>
      <c r="B40" s="1">
        <v>19.0</v>
      </c>
      <c r="C40" s="1" t="s">
        <v>16</v>
      </c>
      <c r="D40" s="1" t="s">
        <v>17</v>
      </c>
      <c r="E40" s="1" t="s">
        <v>23</v>
      </c>
      <c r="F40" s="1">
        <v>7.88</v>
      </c>
      <c r="G40" s="1">
        <v>0.39</v>
      </c>
      <c r="H40" s="1">
        <v>7.49</v>
      </c>
      <c r="I40" s="1">
        <v>7.03</v>
      </c>
      <c r="J40" s="1">
        <v>1.0</v>
      </c>
      <c r="K40" s="1">
        <v>9.0</v>
      </c>
      <c r="L40" s="1">
        <v>49.8</v>
      </c>
      <c r="M40" s="1">
        <v>153.0</v>
      </c>
      <c r="N40" s="1">
        <v>7.6</v>
      </c>
      <c r="O40" s="1">
        <v>17.7</v>
      </c>
    </row>
    <row r="41">
      <c r="A41" s="1" t="s">
        <v>75</v>
      </c>
      <c r="B41" s="1">
        <v>31.0</v>
      </c>
      <c r="C41" s="1" t="s">
        <v>30</v>
      </c>
      <c r="D41" s="1" t="s">
        <v>17</v>
      </c>
      <c r="E41" s="1" t="s">
        <v>18</v>
      </c>
      <c r="F41" s="1">
        <v>8.81</v>
      </c>
      <c r="G41" s="1">
        <v>3.92</v>
      </c>
      <c r="H41" s="1">
        <v>4.89</v>
      </c>
      <c r="I41" s="1">
        <v>6.22</v>
      </c>
      <c r="J41" s="1">
        <v>1.0</v>
      </c>
      <c r="K41" s="1">
        <v>10.0</v>
      </c>
      <c r="L41" s="1">
        <v>51.6</v>
      </c>
      <c r="M41" s="1">
        <v>172.0</v>
      </c>
      <c r="N41" s="1">
        <v>5.7</v>
      </c>
      <c r="O41" s="1">
        <v>12.5</v>
      </c>
    </row>
    <row r="42">
      <c r="A42" s="1" t="s">
        <v>76</v>
      </c>
      <c r="B42" s="1">
        <v>35.0</v>
      </c>
      <c r="C42" s="1" t="s">
        <v>16</v>
      </c>
      <c r="D42" s="1" t="s">
        <v>17</v>
      </c>
      <c r="E42" s="1" t="s">
        <v>23</v>
      </c>
      <c r="F42" s="1">
        <v>5.65</v>
      </c>
      <c r="G42" s="1">
        <v>0.36</v>
      </c>
      <c r="H42" s="1">
        <v>5.29</v>
      </c>
      <c r="I42" s="1">
        <v>7.28</v>
      </c>
      <c r="J42" s="1">
        <v>2.0</v>
      </c>
      <c r="K42" s="1">
        <v>7.2</v>
      </c>
      <c r="L42" s="1">
        <v>67.4</v>
      </c>
      <c r="M42" s="1">
        <v>169.0</v>
      </c>
      <c r="N42" s="1">
        <v>19.4</v>
      </c>
      <c r="O42" s="1">
        <v>35.2</v>
      </c>
    </row>
    <row r="43">
      <c r="A43" s="1" t="s">
        <v>77</v>
      </c>
      <c r="B43" s="1">
        <v>31.0</v>
      </c>
      <c r="C43" s="1" t="s">
        <v>16</v>
      </c>
      <c r="D43" s="1" t="s">
        <v>17</v>
      </c>
      <c r="E43" s="1" t="s">
        <v>23</v>
      </c>
      <c r="F43" s="1">
        <v>9.31</v>
      </c>
      <c r="G43" s="1">
        <v>0.65</v>
      </c>
      <c r="H43" s="1">
        <v>8.66</v>
      </c>
      <c r="I43" s="1">
        <v>7.08</v>
      </c>
      <c r="J43" s="1">
        <v>2.0</v>
      </c>
      <c r="K43" s="1">
        <v>8.4</v>
      </c>
      <c r="L43" s="1">
        <v>51.7</v>
      </c>
      <c r="M43" s="1">
        <v>74.0</v>
      </c>
      <c r="N43" s="1">
        <v>1.1</v>
      </c>
      <c r="O43" s="1">
        <v>30.4</v>
      </c>
    </row>
    <row r="44">
      <c r="A44" s="1" t="s">
        <v>78</v>
      </c>
      <c r="B44" s="1">
        <v>29.0</v>
      </c>
      <c r="C44" s="1" t="s">
        <v>30</v>
      </c>
      <c r="D44" s="1" t="s">
        <v>17</v>
      </c>
      <c r="E44" s="1" t="s">
        <v>18</v>
      </c>
      <c r="F44" s="1">
        <v>7.72</v>
      </c>
      <c r="G44" s="1">
        <v>5.52</v>
      </c>
      <c r="H44" s="1">
        <v>2.2</v>
      </c>
      <c r="I44" s="1">
        <v>7.96</v>
      </c>
      <c r="J44" s="1">
        <v>3.0</v>
      </c>
      <c r="K44" s="1">
        <v>3.8</v>
      </c>
      <c r="L44" s="1">
        <v>77.7</v>
      </c>
      <c r="M44" s="1">
        <v>106.0</v>
      </c>
      <c r="N44" s="1">
        <v>17.5</v>
      </c>
      <c r="O44" s="1">
        <v>62.2</v>
      </c>
    </row>
    <row r="45">
      <c r="A45" s="1" t="s">
        <v>79</v>
      </c>
      <c r="B45" s="1">
        <v>27.0</v>
      </c>
      <c r="C45" s="1" t="s">
        <v>16</v>
      </c>
      <c r="D45" s="1" t="s">
        <v>17</v>
      </c>
      <c r="E45" s="1" t="s">
        <v>18</v>
      </c>
      <c r="F45" s="1">
        <v>11.81</v>
      </c>
      <c r="G45" s="1">
        <v>4.64</v>
      </c>
      <c r="H45" s="1">
        <v>7.17</v>
      </c>
      <c r="I45" s="1">
        <v>6.45</v>
      </c>
      <c r="J45" s="1">
        <v>1.0</v>
      </c>
      <c r="K45" s="1">
        <v>10.0</v>
      </c>
      <c r="L45" s="1">
        <v>37.6</v>
      </c>
      <c r="M45" s="1">
        <v>92.0</v>
      </c>
      <c r="N45" s="1">
        <v>3.5</v>
      </c>
      <c r="O45" s="1">
        <v>0.0</v>
      </c>
    </row>
    <row r="46">
      <c r="A46" s="1" t="s">
        <v>80</v>
      </c>
      <c r="B46" s="1">
        <v>18.0</v>
      </c>
      <c r="C46" s="1" t="s">
        <v>16</v>
      </c>
      <c r="D46" s="1" t="s">
        <v>17</v>
      </c>
      <c r="E46" s="1" t="s">
        <v>23</v>
      </c>
      <c r="F46" s="1">
        <v>6.71</v>
      </c>
      <c r="G46" s="1">
        <v>0.74</v>
      </c>
      <c r="H46" s="1">
        <v>5.97</v>
      </c>
      <c r="I46" s="1">
        <v>6.31</v>
      </c>
      <c r="J46" s="1">
        <v>1.0</v>
      </c>
      <c r="K46" s="1">
        <v>7.4</v>
      </c>
      <c r="L46" s="1">
        <v>58.8</v>
      </c>
      <c r="M46" s="1">
        <v>119.0</v>
      </c>
      <c r="N46" s="1">
        <v>8.0</v>
      </c>
      <c r="O46" s="1">
        <v>23.3</v>
      </c>
    </row>
    <row r="47">
      <c r="A47" s="1" t="s">
        <v>81</v>
      </c>
      <c r="B47" s="1">
        <v>24.0</v>
      </c>
      <c r="C47" s="1" t="s">
        <v>30</v>
      </c>
      <c r="D47" s="1" t="s">
        <v>43</v>
      </c>
      <c r="E47" s="1" t="s">
        <v>18</v>
      </c>
      <c r="F47" s="1">
        <v>6.1</v>
      </c>
      <c r="G47" s="1">
        <v>1.57</v>
      </c>
      <c r="H47" s="1">
        <v>4.53</v>
      </c>
      <c r="I47" s="1">
        <v>7.47</v>
      </c>
      <c r="J47" s="1">
        <v>1.0</v>
      </c>
      <c r="K47" s="1">
        <v>4.1</v>
      </c>
      <c r="L47" s="1">
        <v>79.6</v>
      </c>
      <c r="M47" s="1">
        <v>188.0</v>
      </c>
      <c r="N47" s="1">
        <v>8.0</v>
      </c>
      <c r="O47" s="1">
        <v>53.0</v>
      </c>
    </row>
    <row r="48">
      <c r="A48" s="1" t="s">
        <v>82</v>
      </c>
      <c r="B48" s="1">
        <v>26.0</v>
      </c>
      <c r="C48" s="1" t="s">
        <v>16</v>
      </c>
      <c r="D48" s="1" t="s">
        <v>17</v>
      </c>
      <c r="E48" s="1" t="s">
        <v>23</v>
      </c>
      <c r="F48" s="1">
        <v>7.46</v>
      </c>
      <c r="G48" s="1">
        <v>1.45</v>
      </c>
      <c r="H48" s="1">
        <v>6.01</v>
      </c>
      <c r="I48" s="1">
        <v>7.33</v>
      </c>
      <c r="J48" s="1">
        <v>2.0</v>
      </c>
      <c r="K48" s="1">
        <v>8.9</v>
      </c>
      <c r="L48" s="1">
        <v>49.2</v>
      </c>
      <c r="M48" s="1">
        <v>156.0</v>
      </c>
      <c r="N48" s="1">
        <v>8.4</v>
      </c>
      <c r="O48" s="1">
        <v>23.7</v>
      </c>
    </row>
    <row r="49">
      <c r="A49" s="1" t="s">
        <v>84</v>
      </c>
      <c r="B49" s="1">
        <v>38.0</v>
      </c>
      <c r="C49" s="1" t="s">
        <v>30</v>
      </c>
      <c r="D49" s="1" t="s">
        <v>32</v>
      </c>
      <c r="E49" s="1" t="s">
        <v>18</v>
      </c>
      <c r="F49" s="1">
        <v>14.22</v>
      </c>
      <c r="G49" s="1">
        <v>7.52</v>
      </c>
      <c r="H49" s="1">
        <v>6.7</v>
      </c>
      <c r="I49" s="1">
        <v>6.5</v>
      </c>
      <c r="J49" s="1">
        <v>1.0</v>
      </c>
      <c r="K49" s="1">
        <v>10.0</v>
      </c>
      <c r="L49" s="1">
        <v>34.8</v>
      </c>
      <c r="M49" s="1">
        <v>222.0</v>
      </c>
      <c r="N49" s="1">
        <v>13.9</v>
      </c>
      <c r="O49" s="1">
        <v>0.0</v>
      </c>
    </row>
    <row r="50">
      <c r="A50" s="1" t="s">
        <v>85</v>
      </c>
      <c r="B50" s="1">
        <v>32.0</v>
      </c>
      <c r="C50" s="1" t="s">
        <v>30</v>
      </c>
      <c r="D50" s="1" t="s">
        <v>32</v>
      </c>
      <c r="E50" s="1" t="s">
        <v>18</v>
      </c>
      <c r="F50" s="1">
        <v>9.93</v>
      </c>
      <c r="G50" s="1">
        <v>3.77</v>
      </c>
      <c r="H50" s="1">
        <v>6.16</v>
      </c>
      <c r="I50" s="1">
        <v>7.67</v>
      </c>
      <c r="J50" s="1">
        <v>2.0</v>
      </c>
      <c r="K50" s="1">
        <v>9.3</v>
      </c>
      <c r="L50" s="1">
        <v>52.8</v>
      </c>
      <c r="M50" s="1">
        <v>254.0</v>
      </c>
      <c r="N50" s="1">
        <v>0.5</v>
      </c>
      <c r="O50" s="1">
        <v>18.5</v>
      </c>
    </row>
    <row r="51">
      <c r="A51" s="1" t="s">
        <v>86</v>
      </c>
      <c r="B51" s="1">
        <v>16.0</v>
      </c>
      <c r="C51" s="1" t="s">
        <v>30</v>
      </c>
      <c r="D51" s="1" t="s">
        <v>17</v>
      </c>
      <c r="E51" s="1" t="s">
        <v>23</v>
      </c>
      <c r="F51" s="1">
        <v>13.29</v>
      </c>
      <c r="G51" s="1">
        <v>0.99</v>
      </c>
      <c r="H51" s="1">
        <v>12.3</v>
      </c>
      <c r="I51" s="1">
        <v>7.08</v>
      </c>
      <c r="J51" s="1">
        <v>1.0</v>
      </c>
      <c r="K51" s="1">
        <v>10.0</v>
      </c>
      <c r="L51" s="1">
        <v>27.1</v>
      </c>
      <c r="M51" s="1">
        <v>77.0</v>
      </c>
      <c r="N51" s="1">
        <v>9.2</v>
      </c>
      <c r="O51" s="1">
        <v>0.0</v>
      </c>
    </row>
    <row r="52">
      <c r="A52" s="1" t="s">
        <v>87</v>
      </c>
      <c r="B52" s="1">
        <v>32.0</v>
      </c>
      <c r="C52" s="1" t="s">
        <v>16</v>
      </c>
      <c r="D52" s="1" t="s">
        <v>17</v>
      </c>
      <c r="E52" s="1" t="s">
        <v>27</v>
      </c>
      <c r="F52" s="1">
        <v>6.77</v>
      </c>
      <c r="G52" s="1">
        <v>0.36</v>
      </c>
      <c r="H52" s="1">
        <v>6.41</v>
      </c>
      <c r="I52" s="1">
        <v>6.93</v>
      </c>
      <c r="J52" s="1">
        <v>1.0</v>
      </c>
      <c r="K52" s="1">
        <v>6.5</v>
      </c>
      <c r="L52" s="1">
        <v>56.8</v>
      </c>
      <c r="M52" s="1">
        <v>0.0</v>
      </c>
      <c r="N52" s="1">
        <v>8.1</v>
      </c>
      <c r="O52" s="1">
        <v>27.3</v>
      </c>
    </row>
    <row r="53">
      <c r="A53" s="1" t="s">
        <v>88</v>
      </c>
      <c r="B53" s="1">
        <v>26.0</v>
      </c>
      <c r="C53" s="1" t="s">
        <v>30</v>
      </c>
      <c r="D53" s="1" t="s">
        <v>32</v>
      </c>
      <c r="E53" s="1" t="s">
        <v>18</v>
      </c>
      <c r="F53" s="1">
        <v>10.25</v>
      </c>
      <c r="G53" s="1">
        <v>5.59</v>
      </c>
      <c r="H53" s="1">
        <v>4.66</v>
      </c>
      <c r="I53" s="1">
        <v>6.33</v>
      </c>
      <c r="J53" s="1">
        <v>1.0</v>
      </c>
      <c r="K53" s="1">
        <v>10.0</v>
      </c>
      <c r="L53" s="1">
        <v>38.5</v>
      </c>
      <c r="M53" s="1">
        <v>181.0</v>
      </c>
      <c r="N53" s="1">
        <v>5.4</v>
      </c>
      <c r="O53" s="1">
        <v>0.3</v>
      </c>
    </row>
    <row r="54">
      <c r="A54" s="1" t="s">
        <v>89</v>
      </c>
      <c r="B54" s="1">
        <v>24.0</v>
      </c>
      <c r="C54" s="1" t="s">
        <v>16</v>
      </c>
      <c r="D54" s="1" t="s">
        <v>17</v>
      </c>
      <c r="E54" s="1" t="s">
        <v>27</v>
      </c>
      <c r="F54" s="1">
        <v>8.75</v>
      </c>
      <c r="G54" s="1">
        <v>1.6</v>
      </c>
      <c r="H54" s="1">
        <v>7.15</v>
      </c>
      <c r="I54" s="1">
        <v>6.2</v>
      </c>
      <c r="J54" s="1">
        <v>1.0</v>
      </c>
      <c r="K54" s="1">
        <v>8.8</v>
      </c>
      <c r="L54" s="1">
        <v>44.9</v>
      </c>
      <c r="M54" s="1">
        <v>65.0</v>
      </c>
      <c r="N54" s="1">
        <v>21.6</v>
      </c>
      <c r="O54" s="1">
        <v>0.0</v>
      </c>
    </row>
    <row r="55">
      <c r="A55" s="1" t="s">
        <v>90</v>
      </c>
      <c r="B55" s="1">
        <v>34.0</v>
      </c>
      <c r="C55" s="1" t="s">
        <v>16</v>
      </c>
      <c r="D55" s="1" t="s">
        <v>17</v>
      </c>
      <c r="E55" s="1" t="s">
        <v>27</v>
      </c>
      <c r="F55" s="1">
        <v>10.13</v>
      </c>
      <c r="G55" s="1">
        <v>0.51</v>
      </c>
      <c r="H55" s="1">
        <v>9.62</v>
      </c>
      <c r="I55" s="1">
        <v>7.48</v>
      </c>
      <c r="J55" s="1">
        <v>1.0</v>
      </c>
      <c r="K55" s="1">
        <v>9.8</v>
      </c>
      <c r="L55" s="1">
        <v>44.8</v>
      </c>
      <c r="M55" s="1">
        <v>43.0</v>
      </c>
      <c r="N55" s="1">
        <v>5.4</v>
      </c>
      <c r="O55" s="1">
        <v>1.5</v>
      </c>
    </row>
    <row r="56">
      <c r="A56" s="1" t="s">
        <v>91</v>
      </c>
      <c r="B56" s="1">
        <v>38.0</v>
      </c>
      <c r="C56" s="1" t="s">
        <v>16</v>
      </c>
      <c r="D56" s="1" t="s">
        <v>17</v>
      </c>
      <c r="E56" s="1" t="s">
        <v>18</v>
      </c>
      <c r="F56" s="1">
        <v>9.47</v>
      </c>
      <c r="G56" s="1">
        <v>2.4</v>
      </c>
      <c r="H56" s="1">
        <v>7.07</v>
      </c>
      <c r="I56" s="1">
        <v>8.22</v>
      </c>
      <c r="J56" s="1">
        <v>2.0</v>
      </c>
      <c r="K56" s="1">
        <v>7.2</v>
      </c>
      <c r="L56" s="1">
        <v>60.0</v>
      </c>
      <c r="M56" s="1">
        <v>77.0</v>
      </c>
      <c r="N56" s="1">
        <v>10.2</v>
      </c>
      <c r="O56" s="1">
        <v>34.4</v>
      </c>
    </row>
    <row r="57">
      <c r="A57" s="1" t="s">
        <v>92</v>
      </c>
      <c r="B57" s="1">
        <v>37.0</v>
      </c>
      <c r="C57" s="1" t="s">
        <v>34</v>
      </c>
      <c r="D57" s="1" t="s">
        <v>17</v>
      </c>
      <c r="E57" s="1" t="s">
        <v>27</v>
      </c>
      <c r="F57" s="1">
        <v>7.57</v>
      </c>
      <c r="G57" s="1">
        <v>0.42</v>
      </c>
      <c r="H57" s="1">
        <v>7.15</v>
      </c>
      <c r="I57" s="1">
        <v>7.08</v>
      </c>
      <c r="J57" s="1">
        <v>2.0</v>
      </c>
      <c r="K57" s="1">
        <v>9.4</v>
      </c>
      <c r="L57" s="1">
        <v>51.7</v>
      </c>
      <c r="M57" s="1">
        <v>85.0</v>
      </c>
      <c r="N57" s="1">
        <v>11.5</v>
      </c>
      <c r="O57" s="1">
        <v>27.4</v>
      </c>
    </row>
    <row r="58">
      <c r="A58" s="1" t="s">
        <v>93</v>
      </c>
      <c r="B58" s="1">
        <v>23.0</v>
      </c>
      <c r="C58" s="1" t="s">
        <v>16</v>
      </c>
      <c r="D58" s="1" t="s">
        <v>32</v>
      </c>
      <c r="E58" s="1" t="s">
        <v>23</v>
      </c>
      <c r="F58" s="1">
        <v>6.76</v>
      </c>
      <c r="G58" s="1">
        <v>0.55</v>
      </c>
      <c r="H58" s="1">
        <v>6.21</v>
      </c>
      <c r="I58" s="1">
        <v>7.12</v>
      </c>
      <c r="J58" s="1">
        <v>2.0</v>
      </c>
      <c r="K58" s="1">
        <v>5.6</v>
      </c>
      <c r="L58" s="1">
        <v>74.0</v>
      </c>
      <c r="M58" s="1">
        <v>157.0</v>
      </c>
      <c r="N58" s="1">
        <v>1.0</v>
      </c>
      <c r="O58" s="1">
        <v>39.1</v>
      </c>
    </row>
    <row r="59">
      <c r="A59" s="1" t="s">
        <v>94</v>
      </c>
      <c r="B59" s="1">
        <v>27.0</v>
      </c>
      <c r="C59" s="1" t="s">
        <v>16</v>
      </c>
      <c r="D59" s="1" t="s">
        <v>32</v>
      </c>
      <c r="E59" s="1" t="s">
        <v>18</v>
      </c>
      <c r="F59" s="1">
        <v>7.82</v>
      </c>
      <c r="G59" s="1">
        <v>2.5</v>
      </c>
      <c r="H59" s="1">
        <v>5.32</v>
      </c>
      <c r="I59" s="1">
        <v>8.37</v>
      </c>
      <c r="J59" s="1">
        <v>3.0</v>
      </c>
      <c r="K59" s="1">
        <v>6.9</v>
      </c>
      <c r="L59" s="1">
        <v>81.0</v>
      </c>
      <c r="M59" s="1">
        <v>0.0</v>
      </c>
      <c r="N59" s="1">
        <v>18.8</v>
      </c>
      <c r="O59" s="1">
        <v>44.1</v>
      </c>
    </row>
    <row r="60">
      <c r="A60" s="1" t="s">
        <v>95</v>
      </c>
      <c r="B60" s="1">
        <v>32.0</v>
      </c>
      <c r="C60" s="1" t="s">
        <v>30</v>
      </c>
      <c r="D60" s="1" t="s">
        <v>17</v>
      </c>
      <c r="E60" s="1" t="s">
        <v>27</v>
      </c>
      <c r="F60" s="1">
        <v>11.49</v>
      </c>
      <c r="G60" s="1">
        <v>1.1</v>
      </c>
      <c r="H60" s="1">
        <v>10.39</v>
      </c>
      <c r="I60" s="1">
        <v>7.1</v>
      </c>
      <c r="J60" s="1">
        <v>2.0</v>
      </c>
      <c r="K60" s="1">
        <v>7.2</v>
      </c>
      <c r="L60" s="1">
        <v>67.8</v>
      </c>
      <c r="M60" s="1">
        <v>15.0</v>
      </c>
      <c r="N60" s="1">
        <v>0.0</v>
      </c>
      <c r="O60" s="1">
        <v>29.9</v>
      </c>
    </row>
    <row r="61">
      <c r="A61" s="1" t="s">
        <v>96</v>
      </c>
      <c r="B61" s="1">
        <v>37.0</v>
      </c>
      <c r="C61" s="1" t="s">
        <v>16</v>
      </c>
      <c r="D61" s="1" t="s">
        <v>17</v>
      </c>
      <c r="E61" s="1" t="s">
        <v>27</v>
      </c>
      <c r="F61" s="1">
        <v>8.89</v>
      </c>
      <c r="G61" s="1">
        <v>1.91</v>
      </c>
      <c r="H61" s="1">
        <v>6.98</v>
      </c>
      <c r="I61" s="1">
        <v>7.49</v>
      </c>
      <c r="J61" s="1">
        <v>2.0</v>
      </c>
      <c r="K61" s="1">
        <v>9.7</v>
      </c>
      <c r="L61" s="1">
        <v>40.3</v>
      </c>
      <c r="M61" s="1">
        <v>132.0</v>
      </c>
      <c r="N61" s="1">
        <v>6.1</v>
      </c>
      <c r="O61" s="1">
        <v>19.8</v>
      </c>
    </row>
    <row r="62">
      <c r="A62" s="1" t="s">
        <v>97</v>
      </c>
      <c r="B62" s="1">
        <v>26.0</v>
      </c>
      <c r="C62" s="1" t="s">
        <v>16</v>
      </c>
      <c r="D62" s="1" t="s">
        <v>17</v>
      </c>
      <c r="E62" s="1" t="s">
        <v>23</v>
      </c>
      <c r="F62" s="1">
        <v>10.09</v>
      </c>
      <c r="G62" s="1">
        <v>0.68</v>
      </c>
      <c r="H62" s="1">
        <v>9.41</v>
      </c>
      <c r="I62" s="1">
        <v>5.89</v>
      </c>
      <c r="J62" s="1">
        <v>1.0</v>
      </c>
      <c r="K62" s="1">
        <v>10.0</v>
      </c>
      <c r="L62" s="1">
        <v>46.3</v>
      </c>
      <c r="M62" s="1">
        <v>139.0</v>
      </c>
      <c r="N62" s="1">
        <v>5.6</v>
      </c>
      <c r="O62" s="1">
        <v>4.5</v>
      </c>
    </row>
    <row r="63">
      <c r="A63" s="1" t="s">
        <v>99</v>
      </c>
      <c r="B63" s="1">
        <v>28.0</v>
      </c>
      <c r="C63" s="1" t="s">
        <v>16</v>
      </c>
      <c r="D63" s="1" t="s">
        <v>17</v>
      </c>
      <c r="E63" s="1" t="s">
        <v>18</v>
      </c>
      <c r="F63" s="1">
        <v>9.02</v>
      </c>
      <c r="G63" s="1">
        <v>2.67</v>
      </c>
      <c r="H63" s="1">
        <v>6.35</v>
      </c>
      <c r="I63" s="1">
        <v>7.57</v>
      </c>
      <c r="J63" s="1">
        <v>1.0</v>
      </c>
      <c r="K63" s="1">
        <v>9.4</v>
      </c>
      <c r="L63" s="1">
        <v>45.8</v>
      </c>
      <c r="M63" s="1">
        <v>148.0</v>
      </c>
      <c r="N63" s="1">
        <v>7.9</v>
      </c>
      <c r="O63" s="1">
        <v>2.3</v>
      </c>
    </row>
    <row r="64">
      <c r="A64" s="1" t="s">
        <v>100</v>
      </c>
      <c r="B64" s="1">
        <v>21.0</v>
      </c>
      <c r="C64" s="1" t="s">
        <v>16</v>
      </c>
      <c r="D64" s="1" t="s">
        <v>32</v>
      </c>
      <c r="E64" s="1" t="s">
        <v>23</v>
      </c>
      <c r="F64" s="1">
        <v>11.16</v>
      </c>
      <c r="G64" s="1">
        <v>1.46</v>
      </c>
      <c r="H64" s="1">
        <v>9.7</v>
      </c>
      <c r="I64" s="1">
        <v>5.89</v>
      </c>
      <c r="J64" s="1">
        <v>1.0</v>
      </c>
      <c r="K64" s="1">
        <v>10.0</v>
      </c>
      <c r="L64" s="1">
        <v>42.2</v>
      </c>
      <c r="M64" s="1">
        <v>31.0</v>
      </c>
      <c r="N64" s="1">
        <v>2.8</v>
      </c>
      <c r="O64" s="1">
        <v>3.8</v>
      </c>
    </row>
    <row r="65">
      <c r="A65" s="1" t="s">
        <v>101</v>
      </c>
      <c r="B65" s="1">
        <v>20.0</v>
      </c>
      <c r="C65" s="1" t="s">
        <v>16</v>
      </c>
      <c r="D65" s="1" t="s">
        <v>35</v>
      </c>
      <c r="E65" s="1" t="s">
        <v>27</v>
      </c>
      <c r="F65" s="1">
        <v>7.3</v>
      </c>
      <c r="G65" s="1">
        <v>1.65</v>
      </c>
      <c r="H65" s="1">
        <v>5.65</v>
      </c>
      <c r="I65" s="1">
        <v>6.3</v>
      </c>
      <c r="J65" s="1">
        <v>1.0</v>
      </c>
      <c r="K65" s="1">
        <v>8.4</v>
      </c>
      <c r="L65" s="1">
        <v>51.1</v>
      </c>
      <c r="M65" s="1">
        <v>41.0</v>
      </c>
      <c r="N65" s="1">
        <v>7.7</v>
      </c>
      <c r="O65" s="1">
        <v>9.8</v>
      </c>
    </row>
    <row r="66">
      <c r="A66" s="1" t="s">
        <v>102</v>
      </c>
      <c r="B66" s="1">
        <v>36.0</v>
      </c>
      <c r="C66" s="1" t="s">
        <v>16</v>
      </c>
      <c r="D66" s="1" t="s">
        <v>17</v>
      </c>
      <c r="E66" s="1" t="s">
        <v>18</v>
      </c>
      <c r="F66" s="1">
        <v>6.95</v>
      </c>
      <c r="G66" s="1">
        <v>3.9</v>
      </c>
      <c r="H66" s="1">
        <v>3.05</v>
      </c>
      <c r="I66" s="1">
        <v>7.14</v>
      </c>
      <c r="J66" s="1">
        <v>1.0</v>
      </c>
      <c r="K66" s="1">
        <v>10.0</v>
      </c>
      <c r="L66" s="1">
        <v>48.3</v>
      </c>
      <c r="M66" s="1">
        <v>84.0</v>
      </c>
      <c r="N66" s="1">
        <v>7.9</v>
      </c>
      <c r="O66" s="1">
        <v>0.0</v>
      </c>
    </row>
    <row r="67">
      <c r="A67" s="1" t="s">
        <v>103</v>
      </c>
      <c r="B67" s="1">
        <v>40.0</v>
      </c>
      <c r="C67" s="1" t="s">
        <v>30</v>
      </c>
      <c r="D67" s="1" t="s">
        <v>17</v>
      </c>
      <c r="E67" s="1" t="s">
        <v>18</v>
      </c>
      <c r="F67" s="1">
        <v>5.5</v>
      </c>
      <c r="G67" s="1">
        <v>2.5</v>
      </c>
      <c r="H67" s="1">
        <v>3.0</v>
      </c>
      <c r="I67" s="1">
        <v>7.21</v>
      </c>
      <c r="J67" s="1">
        <v>2.0</v>
      </c>
      <c r="K67" s="1">
        <v>2.6</v>
      </c>
      <c r="L67" s="1">
        <v>86.3</v>
      </c>
      <c r="M67" s="1">
        <v>147.0</v>
      </c>
      <c r="N67" s="1">
        <v>2.2</v>
      </c>
      <c r="O67" s="1">
        <v>60.6</v>
      </c>
    </row>
    <row r="68">
      <c r="A68" s="1" t="s">
        <v>105</v>
      </c>
      <c r="B68" s="1">
        <v>29.0</v>
      </c>
      <c r="C68" s="1" t="s">
        <v>16</v>
      </c>
      <c r="D68" s="1" t="s">
        <v>17</v>
      </c>
      <c r="E68" s="1" t="s">
        <v>18</v>
      </c>
      <c r="F68" s="1">
        <v>11.02</v>
      </c>
      <c r="G68" s="1">
        <v>1.59</v>
      </c>
      <c r="H68" s="1">
        <v>9.43</v>
      </c>
      <c r="I68" s="1">
        <v>6.56</v>
      </c>
      <c r="J68" s="1">
        <v>1.0</v>
      </c>
      <c r="K68" s="1">
        <v>10.0</v>
      </c>
      <c r="L68" s="1">
        <v>38.0</v>
      </c>
      <c r="M68" s="1">
        <v>195.0</v>
      </c>
      <c r="N68" s="1">
        <v>0.0</v>
      </c>
      <c r="O68" s="1">
        <v>13.2</v>
      </c>
    </row>
    <row r="69">
      <c r="A69" s="1" t="s">
        <v>109</v>
      </c>
      <c r="B69" s="1">
        <v>38.0</v>
      </c>
      <c r="C69" s="1" t="s">
        <v>16</v>
      </c>
      <c r="D69" s="1" t="s">
        <v>17</v>
      </c>
      <c r="E69" s="1" t="s">
        <v>27</v>
      </c>
      <c r="F69" s="1">
        <v>8.47</v>
      </c>
      <c r="G69" s="1">
        <v>0.94</v>
      </c>
      <c r="H69" s="1">
        <v>7.53</v>
      </c>
      <c r="I69" s="1">
        <v>6.06</v>
      </c>
      <c r="J69" s="1">
        <v>1.0</v>
      </c>
      <c r="K69" s="1">
        <v>7.4</v>
      </c>
      <c r="L69" s="1">
        <v>50.3</v>
      </c>
      <c r="M69" s="1">
        <v>0.0</v>
      </c>
      <c r="N69" s="1">
        <v>10.0</v>
      </c>
      <c r="O69" s="1">
        <v>18.2</v>
      </c>
    </row>
    <row r="70">
      <c r="A70" s="1" t="s">
        <v>110</v>
      </c>
      <c r="B70" s="1">
        <v>32.0</v>
      </c>
      <c r="C70" s="1" t="s">
        <v>30</v>
      </c>
      <c r="D70" s="1" t="s">
        <v>17</v>
      </c>
      <c r="E70" s="1" t="s">
        <v>27</v>
      </c>
      <c r="F70" s="1">
        <v>6.92</v>
      </c>
      <c r="G70" s="1">
        <v>1.07</v>
      </c>
      <c r="H70" s="1">
        <v>5.85</v>
      </c>
      <c r="I70" s="1">
        <v>8.15</v>
      </c>
      <c r="J70" s="1">
        <v>3.0</v>
      </c>
      <c r="K70" s="1">
        <v>5.1</v>
      </c>
      <c r="L70" s="1">
        <v>76.5</v>
      </c>
      <c r="M70" s="1">
        <v>102.0</v>
      </c>
      <c r="N70" s="1">
        <v>11.5</v>
      </c>
      <c r="O70" s="1">
        <v>57.0</v>
      </c>
    </row>
    <row r="71">
      <c r="A71" s="1" t="s">
        <v>111</v>
      </c>
      <c r="B71" s="1">
        <v>24.0</v>
      </c>
      <c r="C71" s="1" t="s">
        <v>16</v>
      </c>
      <c r="D71" s="1" t="s">
        <v>32</v>
      </c>
      <c r="E71" s="1" t="s">
        <v>23</v>
      </c>
      <c r="F71" s="1">
        <v>8.23</v>
      </c>
      <c r="G71" s="1">
        <v>0.45</v>
      </c>
      <c r="H71" s="1">
        <v>7.78</v>
      </c>
      <c r="I71" s="1">
        <v>8.01</v>
      </c>
      <c r="J71" s="1">
        <v>2.0</v>
      </c>
      <c r="K71" s="1">
        <v>7.0</v>
      </c>
      <c r="L71" s="1">
        <v>65.1</v>
      </c>
      <c r="M71" s="1">
        <v>12.0</v>
      </c>
      <c r="N71" s="1">
        <v>17.2</v>
      </c>
      <c r="O71" s="1">
        <v>30.6</v>
      </c>
    </row>
    <row r="72">
      <c r="A72" s="1" t="s">
        <v>113</v>
      </c>
      <c r="B72" s="1">
        <v>32.0</v>
      </c>
      <c r="C72" s="1" t="s">
        <v>30</v>
      </c>
      <c r="D72" s="1" t="s">
        <v>43</v>
      </c>
      <c r="E72" s="1" t="s">
        <v>27</v>
      </c>
      <c r="F72" s="1">
        <v>7.88</v>
      </c>
      <c r="G72" s="1">
        <v>0.39</v>
      </c>
      <c r="H72" s="1">
        <v>7.49</v>
      </c>
      <c r="I72" s="1">
        <v>5.68</v>
      </c>
      <c r="J72" s="1">
        <v>1.0</v>
      </c>
      <c r="K72" s="1">
        <v>7.7</v>
      </c>
      <c r="L72" s="1">
        <v>59.0</v>
      </c>
      <c r="M72" s="1">
        <v>0.0</v>
      </c>
      <c r="N72" s="1">
        <v>4.5</v>
      </c>
      <c r="O72" s="1">
        <v>19.6</v>
      </c>
    </row>
    <row r="73">
      <c r="A73" s="1" t="s">
        <v>115</v>
      </c>
      <c r="B73" s="1">
        <v>42.0</v>
      </c>
      <c r="C73" s="1" t="s">
        <v>16</v>
      </c>
      <c r="D73" s="1" t="s">
        <v>32</v>
      </c>
      <c r="E73" s="1" t="s">
        <v>18</v>
      </c>
      <c r="F73" s="1">
        <v>13.44</v>
      </c>
      <c r="G73" s="1">
        <v>6.68</v>
      </c>
      <c r="H73" s="1">
        <v>6.76</v>
      </c>
      <c r="I73" s="1">
        <v>7.29</v>
      </c>
      <c r="J73" s="1">
        <v>1.0</v>
      </c>
      <c r="K73" s="1">
        <v>10.0</v>
      </c>
      <c r="L73" s="1">
        <v>43.0</v>
      </c>
      <c r="M73" s="1">
        <v>151.0</v>
      </c>
      <c r="N73" s="1">
        <v>12.5</v>
      </c>
      <c r="O73" s="1">
        <v>5.4</v>
      </c>
    </row>
    <row r="74">
      <c r="A74" s="1" t="s">
        <v>116</v>
      </c>
      <c r="B74" s="1">
        <v>29.0</v>
      </c>
      <c r="C74" s="1" t="s">
        <v>16</v>
      </c>
      <c r="D74" s="1" t="s">
        <v>43</v>
      </c>
      <c r="E74" s="1" t="s">
        <v>27</v>
      </c>
      <c r="F74" s="1">
        <v>5.41</v>
      </c>
      <c r="G74" s="1">
        <v>0.44</v>
      </c>
      <c r="H74" s="1">
        <v>4.97</v>
      </c>
      <c r="I74" s="1">
        <v>6.93</v>
      </c>
      <c r="J74" s="1">
        <v>1.0</v>
      </c>
      <c r="K74" s="1">
        <v>4.6</v>
      </c>
      <c r="L74" s="1">
        <v>68.5</v>
      </c>
      <c r="M74" s="1">
        <v>163.0</v>
      </c>
      <c r="N74" s="1">
        <v>5.5</v>
      </c>
      <c r="O74" s="1">
        <v>43.0</v>
      </c>
    </row>
    <row r="75">
      <c r="A75" s="1" t="s">
        <v>117</v>
      </c>
      <c r="B75" s="1">
        <v>42.0</v>
      </c>
      <c r="C75" s="1" t="s">
        <v>16</v>
      </c>
      <c r="D75" s="1" t="s">
        <v>17</v>
      </c>
      <c r="E75" s="1" t="s">
        <v>23</v>
      </c>
      <c r="F75" s="1">
        <v>8.6</v>
      </c>
      <c r="G75" s="1">
        <v>1.6</v>
      </c>
      <c r="H75" s="1">
        <v>7.0</v>
      </c>
      <c r="I75" s="1">
        <v>7.92</v>
      </c>
      <c r="J75" s="1">
        <v>2.0</v>
      </c>
      <c r="K75" s="1">
        <v>9.2</v>
      </c>
      <c r="L75" s="1">
        <v>56.0</v>
      </c>
      <c r="M75" s="1">
        <v>144.0</v>
      </c>
      <c r="N75" s="1">
        <v>15.5</v>
      </c>
      <c r="O75" s="1">
        <v>21.4</v>
      </c>
    </row>
    <row r="76">
      <c r="A76" s="1" t="s">
        <v>118</v>
      </c>
      <c r="B76" s="1">
        <v>16.0</v>
      </c>
      <c r="C76" s="1" t="s">
        <v>16</v>
      </c>
      <c r="D76" s="1" t="s">
        <v>32</v>
      </c>
      <c r="E76" s="1" t="s">
        <v>18</v>
      </c>
      <c r="F76" s="1">
        <v>9.13</v>
      </c>
      <c r="G76" s="1">
        <v>4.07</v>
      </c>
      <c r="H76" s="1">
        <v>5.06</v>
      </c>
      <c r="I76" s="1">
        <v>6.84</v>
      </c>
      <c r="J76" s="1">
        <v>2.0</v>
      </c>
      <c r="K76" s="1">
        <v>5.4</v>
      </c>
      <c r="L76" s="1">
        <v>74.5</v>
      </c>
      <c r="M76" s="1">
        <v>161.0</v>
      </c>
      <c r="N76" s="1">
        <v>12.8</v>
      </c>
      <c r="O76" s="1">
        <v>52.8</v>
      </c>
    </row>
    <row r="77">
      <c r="A77" s="1" t="s">
        <v>120</v>
      </c>
      <c r="B77" s="1">
        <v>36.0</v>
      </c>
      <c r="C77" s="1" t="s">
        <v>16</v>
      </c>
      <c r="D77" s="1" t="s">
        <v>17</v>
      </c>
      <c r="E77" s="1" t="s">
        <v>18</v>
      </c>
      <c r="F77" s="1">
        <v>9.26</v>
      </c>
      <c r="G77" s="1">
        <v>4.57</v>
      </c>
      <c r="H77" s="1">
        <v>4.69</v>
      </c>
      <c r="I77" s="1">
        <v>7.09</v>
      </c>
      <c r="J77" s="1">
        <v>1.0</v>
      </c>
      <c r="K77" s="1">
        <v>10.0</v>
      </c>
      <c r="L77" s="1">
        <v>51.1</v>
      </c>
      <c r="M77" s="1">
        <v>72.0</v>
      </c>
      <c r="N77" s="1">
        <v>9.9</v>
      </c>
      <c r="O77" s="1">
        <v>5.1</v>
      </c>
    </row>
    <row r="78">
      <c r="A78" s="1" t="s">
        <v>121</v>
      </c>
      <c r="B78" s="1">
        <v>30.0</v>
      </c>
      <c r="C78" s="1" t="s">
        <v>16</v>
      </c>
      <c r="D78" s="1" t="s">
        <v>35</v>
      </c>
      <c r="E78" s="1" t="s">
        <v>18</v>
      </c>
      <c r="F78" s="1">
        <v>6.61</v>
      </c>
      <c r="G78" s="1">
        <v>1.82</v>
      </c>
      <c r="H78" s="1">
        <v>4.79</v>
      </c>
      <c r="I78" s="1">
        <v>7.26</v>
      </c>
      <c r="J78" s="1">
        <v>1.0</v>
      </c>
      <c r="K78" s="1">
        <v>6.8</v>
      </c>
      <c r="L78" s="1">
        <v>60.5</v>
      </c>
      <c r="M78" s="1">
        <v>88.0</v>
      </c>
      <c r="N78" s="1">
        <v>6.0</v>
      </c>
      <c r="O78" s="1">
        <v>19.3</v>
      </c>
    </row>
    <row r="79">
      <c r="A79" s="1" t="s">
        <v>122</v>
      </c>
      <c r="B79" s="1">
        <v>27.0</v>
      </c>
      <c r="C79" s="1" t="s">
        <v>16</v>
      </c>
      <c r="D79" s="1" t="s">
        <v>17</v>
      </c>
      <c r="E79" s="1" t="s">
        <v>23</v>
      </c>
      <c r="F79" s="1">
        <v>3.93</v>
      </c>
      <c r="G79" s="1">
        <v>1.02</v>
      </c>
      <c r="H79" s="1">
        <v>2.91</v>
      </c>
      <c r="I79" s="1">
        <v>8.75</v>
      </c>
      <c r="J79" s="1">
        <v>2.0</v>
      </c>
      <c r="K79" s="1">
        <v>2.2</v>
      </c>
      <c r="L79" s="1">
        <v>88.0</v>
      </c>
      <c r="M79" s="1">
        <v>286.0</v>
      </c>
      <c r="N79" s="1">
        <v>16.6</v>
      </c>
      <c r="O79" s="1">
        <v>68.4</v>
      </c>
    </row>
    <row r="80">
      <c r="A80" s="1" t="s">
        <v>123</v>
      </c>
      <c r="B80" s="1">
        <v>30.0</v>
      </c>
      <c r="C80" s="1" t="s">
        <v>16</v>
      </c>
      <c r="D80" s="1" t="s">
        <v>35</v>
      </c>
      <c r="E80" s="1" t="s">
        <v>27</v>
      </c>
      <c r="F80" s="1">
        <v>11.75</v>
      </c>
      <c r="G80" s="1">
        <v>0.88</v>
      </c>
      <c r="H80" s="1">
        <v>10.87</v>
      </c>
      <c r="I80" s="1">
        <v>5.65</v>
      </c>
      <c r="J80" s="1">
        <v>1.0</v>
      </c>
      <c r="K80" s="1">
        <v>10.0</v>
      </c>
      <c r="L80" s="1">
        <v>41.5</v>
      </c>
      <c r="M80" s="1">
        <v>70.0</v>
      </c>
      <c r="N80" s="1">
        <v>10.3</v>
      </c>
      <c r="O80" s="1">
        <v>0.0</v>
      </c>
    </row>
    <row r="81">
      <c r="A81" s="1" t="s">
        <v>125</v>
      </c>
      <c r="B81" s="1">
        <v>16.0</v>
      </c>
      <c r="C81" s="1" t="s">
        <v>16</v>
      </c>
      <c r="D81" s="1" t="s">
        <v>17</v>
      </c>
      <c r="E81" s="1" t="s">
        <v>27</v>
      </c>
      <c r="F81" s="1">
        <v>7.58</v>
      </c>
      <c r="G81" s="1">
        <v>0.38</v>
      </c>
      <c r="H81" s="1">
        <v>7.2</v>
      </c>
      <c r="I81" s="1">
        <v>7.61</v>
      </c>
      <c r="J81" s="1">
        <v>2.0</v>
      </c>
      <c r="K81" s="1">
        <v>4.5</v>
      </c>
      <c r="L81" s="1">
        <v>67.7</v>
      </c>
      <c r="M81" s="1">
        <v>157.0</v>
      </c>
      <c r="N81" s="1">
        <v>3.4</v>
      </c>
      <c r="O81" s="1">
        <v>61.4</v>
      </c>
    </row>
    <row r="82">
      <c r="A82" s="1" t="s">
        <v>126</v>
      </c>
      <c r="B82" s="1">
        <v>28.0</v>
      </c>
      <c r="C82" s="1" t="s">
        <v>16</v>
      </c>
      <c r="D82" s="1" t="s">
        <v>17</v>
      </c>
      <c r="E82" s="1" t="s">
        <v>23</v>
      </c>
      <c r="F82" s="1">
        <v>9.14</v>
      </c>
      <c r="G82" s="1">
        <v>1.99</v>
      </c>
      <c r="H82" s="1">
        <v>7.15</v>
      </c>
      <c r="I82" s="1">
        <v>7.89</v>
      </c>
      <c r="J82" s="1">
        <v>1.0</v>
      </c>
      <c r="K82" s="1">
        <v>9.4</v>
      </c>
      <c r="L82" s="1">
        <v>45.5</v>
      </c>
      <c r="M82" s="1">
        <v>103.0</v>
      </c>
      <c r="N82" s="1">
        <v>0.9</v>
      </c>
      <c r="O82" s="1">
        <v>11.7</v>
      </c>
    </row>
    <row r="83">
      <c r="A83" s="1" t="s">
        <v>127</v>
      </c>
      <c r="B83" s="1">
        <v>32.0</v>
      </c>
      <c r="C83" s="1" t="s">
        <v>16</v>
      </c>
      <c r="D83" s="1" t="s">
        <v>35</v>
      </c>
      <c r="E83" s="1" t="s">
        <v>23</v>
      </c>
      <c r="F83" s="1">
        <v>5.44</v>
      </c>
      <c r="G83" s="1">
        <v>0.45</v>
      </c>
      <c r="H83" s="1">
        <v>4.99</v>
      </c>
      <c r="I83" s="1">
        <v>8.18</v>
      </c>
      <c r="J83" s="1">
        <v>2.0</v>
      </c>
      <c r="K83" s="1">
        <v>3.0</v>
      </c>
      <c r="L83" s="1">
        <v>88.3</v>
      </c>
      <c r="M83" s="1">
        <v>0.0</v>
      </c>
      <c r="N83" s="1">
        <v>7.1</v>
      </c>
      <c r="O83" s="1">
        <v>56.1</v>
      </c>
    </row>
    <row r="84">
      <c r="A84" s="1" t="s">
        <v>128</v>
      </c>
      <c r="B84" s="1">
        <v>41.0</v>
      </c>
      <c r="C84" s="1" t="s">
        <v>16</v>
      </c>
      <c r="D84" s="1" t="s">
        <v>32</v>
      </c>
      <c r="E84" s="1" t="s">
        <v>18</v>
      </c>
      <c r="F84" s="1">
        <v>9.86</v>
      </c>
      <c r="G84" s="1">
        <v>6.39</v>
      </c>
      <c r="H84" s="1">
        <v>3.47</v>
      </c>
      <c r="I84" s="1">
        <v>8.89</v>
      </c>
      <c r="J84" s="1">
        <v>3.0</v>
      </c>
      <c r="K84" s="1">
        <v>8.2</v>
      </c>
      <c r="L84" s="1">
        <v>66.3</v>
      </c>
      <c r="M84" s="1">
        <v>0.0</v>
      </c>
      <c r="N84" s="1">
        <v>15.8</v>
      </c>
      <c r="O84" s="1">
        <v>32.6</v>
      </c>
    </row>
    <row r="85">
      <c r="A85" s="1" t="s">
        <v>129</v>
      </c>
      <c r="B85" s="1">
        <v>25.0</v>
      </c>
      <c r="C85" s="1" t="s">
        <v>30</v>
      </c>
      <c r="D85" s="1" t="s">
        <v>17</v>
      </c>
      <c r="E85" s="1" t="s">
        <v>23</v>
      </c>
      <c r="F85" s="1">
        <v>8.05</v>
      </c>
      <c r="G85" s="1">
        <v>1.1</v>
      </c>
      <c r="H85" s="1">
        <v>6.95</v>
      </c>
      <c r="I85" s="1">
        <v>6.72</v>
      </c>
      <c r="J85" s="1">
        <v>1.0</v>
      </c>
      <c r="K85" s="1">
        <v>7.1</v>
      </c>
      <c r="L85" s="1">
        <v>55.9</v>
      </c>
      <c r="M85" s="1">
        <v>67.0</v>
      </c>
      <c r="N85" s="1">
        <v>11.4</v>
      </c>
      <c r="O85" s="1">
        <v>17.5</v>
      </c>
    </row>
    <row r="86">
      <c r="A86" s="1" t="s">
        <v>130</v>
      </c>
      <c r="B86" s="1">
        <v>23.0</v>
      </c>
      <c r="C86" s="1" t="s">
        <v>16</v>
      </c>
      <c r="D86" s="1" t="s">
        <v>32</v>
      </c>
      <c r="E86" s="1" t="s">
        <v>18</v>
      </c>
      <c r="F86" s="1">
        <v>7.04</v>
      </c>
      <c r="G86" s="1">
        <v>3.5</v>
      </c>
      <c r="H86" s="1">
        <v>3.54</v>
      </c>
      <c r="I86" s="1">
        <v>8.04</v>
      </c>
      <c r="J86" s="1">
        <v>3.0</v>
      </c>
      <c r="K86" s="1">
        <v>4.6</v>
      </c>
      <c r="L86" s="1">
        <v>82.3</v>
      </c>
      <c r="M86" s="1">
        <v>186.0</v>
      </c>
      <c r="N86" s="1">
        <v>2.8</v>
      </c>
      <c r="O86" s="1">
        <v>72.6</v>
      </c>
    </row>
    <row r="87">
      <c r="A87" s="1" t="s">
        <v>131</v>
      </c>
      <c r="B87" s="1">
        <v>25.0</v>
      </c>
      <c r="C87" s="1" t="s">
        <v>30</v>
      </c>
      <c r="D87" s="1" t="s">
        <v>37</v>
      </c>
      <c r="E87" s="1" t="s">
        <v>18</v>
      </c>
      <c r="F87" s="1">
        <v>6.32</v>
      </c>
      <c r="G87" s="1">
        <v>1.72</v>
      </c>
      <c r="H87" s="1">
        <v>4.6</v>
      </c>
      <c r="I87" s="1">
        <v>7.32</v>
      </c>
      <c r="J87" s="1">
        <v>2.0</v>
      </c>
      <c r="K87" s="1">
        <v>6.3</v>
      </c>
      <c r="L87" s="1">
        <v>64.4</v>
      </c>
      <c r="M87" s="1">
        <v>173.0</v>
      </c>
      <c r="N87" s="1">
        <v>3.6</v>
      </c>
      <c r="O87" s="1">
        <v>30.8</v>
      </c>
    </row>
    <row r="88">
      <c r="A88" s="1" t="s">
        <v>133</v>
      </c>
      <c r="B88" s="1">
        <v>37.0</v>
      </c>
      <c r="C88" s="1" t="s">
        <v>30</v>
      </c>
      <c r="D88" s="1" t="s">
        <v>43</v>
      </c>
      <c r="E88" s="1" t="s">
        <v>18</v>
      </c>
      <c r="F88" s="1">
        <v>10.3</v>
      </c>
      <c r="G88" s="1">
        <v>2.73</v>
      </c>
      <c r="H88" s="1">
        <v>7.57</v>
      </c>
      <c r="I88" s="1">
        <v>7.91</v>
      </c>
      <c r="J88" s="1">
        <v>1.0</v>
      </c>
      <c r="K88" s="1">
        <v>9.1</v>
      </c>
      <c r="L88" s="1">
        <v>50.4</v>
      </c>
      <c r="M88" s="1">
        <v>164.0</v>
      </c>
      <c r="N88" s="1">
        <v>13.5</v>
      </c>
      <c r="O88" s="1">
        <v>12.2</v>
      </c>
    </row>
    <row r="89">
      <c r="A89" s="1" t="s">
        <v>134</v>
      </c>
      <c r="B89" s="1">
        <v>32.0</v>
      </c>
      <c r="C89" s="1" t="s">
        <v>16</v>
      </c>
      <c r="D89" s="1" t="s">
        <v>32</v>
      </c>
      <c r="E89" s="1" t="s">
        <v>18</v>
      </c>
      <c r="F89" s="1">
        <v>9.24</v>
      </c>
      <c r="G89" s="1">
        <v>2.53</v>
      </c>
      <c r="H89" s="1">
        <v>6.71</v>
      </c>
      <c r="I89" s="1">
        <v>7.03</v>
      </c>
      <c r="J89" s="1">
        <v>1.0</v>
      </c>
      <c r="K89" s="1">
        <v>9.3</v>
      </c>
      <c r="L89" s="1">
        <v>46.5</v>
      </c>
      <c r="M89" s="1">
        <v>34.0</v>
      </c>
      <c r="N89" s="1">
        <v>4.5</v>
      </c>
      <c r="O89" s="1">
        <v>5.0</v>
      </c>
    </row>
    <row r="90">
      <c r="A90" s="1" t="s">
        <v>135</v>
      </c>
      <c r="B90" s="1">
        <v>25.0</v>
      </c>
      <c r="C90" s="1" t="s">
        <v>30</v>
      </c>
      <c r="D90" s="1" t="s">
        <v>17</v>
      </c>
      <c r="E90" s="1" t="s">
        <v>27</v>
      </c>
      <c r="F90" s="1">
        <v>8.29</v>
      </c>
      <c r="G90" s="1">
        <v>1.0</v>
      </c>
      <c r="H90" s="1">
        <v>7.29</v>
      </c>
      <c r="I90" s="1">
        <v>6.8</v>
      </c>
      <c r="J90" s="1">
        <v>1.0</v>
      </c>
      <c r="K90" s="1">
        <v>6.4</v>
      </c>
      <c r="L90" s="1">
        <v>58.3</v>
      </c>
      <c r="M90" s="1">
        <v>219.0</v>
      </c>
      <c r="N90" s="1">
        <v>12.0</v>
      </c>
      <c r="O90" s="1">
        <v>34.5</v>
      </c>
    </row>
    <row r="91">
      <c r="A91" s="1" t="s">
        <v>136</v>
      </c>
      <c r="B91" s="1">
        <v>34.0</v>
      </c>
      <c r="C91" s="1" t="s">
        <v>30</v>
      </c>
      <c r="D91" s="1" t="s">
        <v>43</v>
      </c>
      <c r="E91" s="1" t="s">
        <v>23</v>
      </c>
      <c r="F91" s="1">
        <v>5.52</v>
      </c>
      <c r="G91" s="1">
        <v>0.92</v>
      </c>
      <c r="H91" s="1">
        <v>4.6</v>
      </c>
      <c r="I91" s="1">
        <v>8.66</v>
      </c>
      <c r="J91" s="1">
        <v>2.0</v>
      </c>
      <c r="K91" s="1">
        <v>6.2</v>
      </c>
      <c r="L91" s="1">
        <v>68.7</v>
      </c>
      <c r="M91" s="1">
        <v>59.0</v>
      </c>
      <c r="N91" s="1">
        <v>5.9</v>
      </c>
      <c r="O91" s="1">
        <v>38.1</v>
      </c>
    </row>
    <row r="92">
      <c r="A92" s="1" t="s">
        <v>138</v>
      </c>
      <c r="B92" s="1">
        <v>30.0</v>
      </c>
      <c r="C92" s="1" t="s">
        <v>16</v>
      </c>
      <c r="D92" s="1" t="s">
        <v>32</v>
      </c>
      <c r="E92" s="1" t="s">
        <v>18</v>
      </c>
      <c r="F92" s="1">
        <v>9.13</v>
      </c>
      <c r="G92" s="1">
        <v>2.42</v>
      </c>
      <c r="H92" s="1">
        <v>6.71</v>
      </c>
      <c r="I92" s="1">
        <v>6.64</v>
      </c>
      <c r="J92" s="1">
        <v>1.0</v>
      </c>
      <c r="K92" s="1">
        <v>10.0</v>
      </c>
      <c r="L92" s="1">
        <v>43.9</v>
      </c>
      <c r="M92" s="1">
        <v>118.0</v>
      </c>
      <c r="N92" s="1">
        <v>16.1</v>
      </c>
      <c r="O92" s="1">
        <v>0.0</v>
      </c>
    </row>
    <row r="93">
      <c r="A93" s="1" t="s">
        <v>139</v>
      </c>
      <c r="B93" s="1">
        <v>37.0</v>
      </c>
      <c r="C93" s="1" t="s">
        <v>16</v>
      </c>
      <c r="D93" s="1" t="s">
        <v>17</v>
      </c>
      <c r="E93" s="1" t="s">
        <v>18</v>
      </c>
      <c r="F93" s="1">
        <v>9.81</v>
      </c>
      <c r="G93" s="1">
        <v>2.46</v>
      </c>
      <c r="H93" s="1">
        <v>7.35</v>
      </c>
      <c r="I93" s="1">
        <v>5.87</v>
      </c>
      <c r="J93" s="1">
        <v>1.0</v>
      </c>
      <c r="K93" s="1">
        <v>10.0</v>
      </c>
      <c r="L93" s="1">
        <v>40.6</v>
      </c>
      <c r="M93" s="1">
        <v>102.0</v>
      </c>
      <c r="N93" s="1">
        <v>4.0</v>
      </c>
      <c r="O93" s="1">
        <v>0.0</v>
      </c>
    </row>
    <row r="94">
      <c r="A94" s="1" t="s">
        <v>140</v>
      </c>
      <c r="B94" s="1">
        <v>24.0</v>
      </c>
      <c r="C94" s="1" t="s">
        <v>30</v>
      </c>
      <c r="D94" s="1" t="s">
        <v>43</v>
      </c>
      <c r="E94" s="1" t="s">
        <v>27</v>
      </c>
      <c r="F94" s="1">
        <v>7.75</v>
      </c>
      <c r="G94" s="1">
        <v>0.96</v>
      </c>
      <c r="H94" s="1">
        <v>6.79</v>
      </c>
      <c r="I94" s="1">
        <v>6.76</v>
      </c>
      <c r="J94" s="1">
        <v>1.0</v>
      </c>
      <c r="K94" s="1">
        <v>8.3</v>
      </c>
      <c r="L94" s="1">
        <v>57.1</v>
      </c>
      <c r="M94" s="1">
        <v>96.0</v>
      </c>
      <c r="N94" s="1">
        <v>14.6</v>
      </c>
      <c r="O94" s="1">
        <v>10.7</v>
      </c>
    </row>
    <row r="95">
      <c r="A95" s="1" t="s">
        <v>141</v>
      </c>
      <c r="B95" s="1">
        <v>27.0</v>
      </c>
      <c r="C95" s="1" t="s">
        <v>30</v>
      </c>
      <c r="D95" s="1" t="s">
        <v>32</v>
      </c>
      <c r="E95" s="1" t="s">
        <v>23</v>
      </c>
      <c r="F95" s="1">
        <v>7.05</v>
      </c>
      <c r="G95" s="1">
        <v>0.62</v>
      </c>
      <c r="H95" s="1">
        <v>6.43</v>
      </c>
      <c r="I95" s="1">
        <v>7.81</v>
      </c>
      <c r="J95" s="1">
        <v>1.0</v>
      </c>
      <c r="K95" s="1">
        <v>8.8</v>
      </c>
      <c r="L95" s="1">
        <v>49.9</v>
      </c>
      <c r="M95" s="1">
        <v>208.0</v>
      </c>
      <c r="N95" s="1">
        <v>5.7</v>
      </c>
      <c r="O95" s="1">
        <v>14.4</v>
      </c>
    </row>
    <row r="96">
      <c r="A96" s="1" t="s">
        <v>142</v>
      </c>
      <c r="B96" s="1">
        <v>26.0</v>
      </c>
      <c r="C96" s="1" t="s">
        <v>16</v>
      </c>
      <c r="D96" s="1" t="s">
        <v>17</v>
      </c>
      <c r="E96" s="1" t="s">
        <v>27</v>
      </c>
      <c r="F96" s="1">
        <v>7.83</v>
      </c>
      <c r="G96" s="1">
        <v>0.87</v>
      </c>
      <c r="H96" s="1">
        <v>6.96</v>
      </c>
      <c r="I96" s="1">
        <v>8.3</v>
      </c>
      <c r="J96" s="1">
        <v>3.0</v>
      </c>
      <c r="K96" s="1">
        <v>3.2</v>
      </c>
      <c r="L96" s="1">
        <v>95.0</v>
      </c>
      <c r="M96" s="1">
        <v>60.0</v>
      </c>
      <c r="N96" s="1">
        <v>8.7</v>
      </c>
      <c r="O96" s="1">
        <v>80.9</v>
      </c>
    </row>
    <row r="97">
      <c r="A97" s="1" t="s">
        <v>144</v>
      </c>
      <c r="B97" s="1">
        <v>18.0</v>
      </c>
      <c r="C97" s="1" t="s">
        <v>16</v>
      </c>
      <c r="D97" s="1" t="s">
        <v>17</v>
      </c>
      <c r="E97" s="1" t="s">
        <v>27</v>
      </c>
      <c r="F97" s="1">
        <v>10.17</v>
      </c>
      <c r="G97" s="1">
        <v>1.01</v>
      </c>
      <c r="H97" s="1">
        <v>9.16</v>
      </c>
      <c r="I97" s="1">
        <v>6.84</v>
      </c>
      <c r="J97" s="1">
        <v>1.0</v>
      </c>
      <c r="K97" s="1">
        <v>10.0</v>
      </c>
      <c r="L97" s="1">
        <v>51.5</v>
      </c>
      <c r="M97" s="1">
        <v>0.0</v>
      </c>
      <c r="N97" s="1">
        <v>0.0</v>
      </c>
      <c r="O97" s="1">
        <v>0.0</v>
      </c>
    </row>
    <row r="98">
      <c r="A98" s="1" t="s">
        <v>145</v>
      </c>
      <c r="B98" s="1">
        <v>32.0</v>
      </c>
      <c r="C98" s="1" t="s">
        <v>16</v>
      </c>
      <c r="D98" s="1" t="s">
        <v>43</v>
      </c>
      <c r="E98" s="1" t="s">
        <v>18</v>
      </c>
      <c r="F98" s="1">
        <v>7.94</v>
      </c>
      <c r="G98" s="1">
        <v>2.93</v>
      </c>
      <c r="H98" s="1">
        <v>5.01</v>
      </c>
      <c r="I98" s="1">
        <v>8.28</v>
      </c>
      <c r="J98" s="1">
        <v>2.0</v>
      </c>
      <c r="K98" s="1">
        <v>8.3</v>
      </c>
      <c r="L98" s="1">
        <v>53.5</v>
      </c>
      <c r="M98" s="1">
        <v>113.0</v>
      </c>
      <c r="N98" s="1">
        <v>0.0</v>
      </c>
      <c r="O98" s="1">
        <v>18.7</v>
      </c>
    </row>
    <row r="99">
      <c r="A99" s="1" t="s">
        <v>146</v>
      </c>
      <c r="B99" s="1">
        <v>32.0</v>
      </c>
      <c r="C99" s="1" t="s">
        <v>16</v>
      </c>
      <c r="D99" s="1" t="s">
        <v>37</v>
      </c>
      <c r="E99" s="1" t="s">
        <v>18</v>
      </c>
      <c r="F99" s="1">
        <v>9.58</v>
      </c>
      <c r="G99" s="1">
        <v>3.64</v>
      </c>
      <c r="H99" s="1">
        <v>5.94</v>
      </c>
      <c r="I99" s="1">
        <v>5.9</v>
      </c>
      <c r="J99" s="1">
        <v>1.0</v>
      </c>
      <c r="K99" s="1">
        <v>8.9</v>
      </c>
      <c r="L99" s="1">
        <v>48.4</v>
      </c>
      <c r="M99" s="1">
        <v>74.0</v>
      </c>
      <c r="N99" s="1">
        <v>6.1</v>
      </c>
      <c r="O99" s="1">
        <v>6.1</v>
      </c>
    </row>
    <row r="100">
      <c r="A100" s="1" t="s">
        <v>147</v>
      </c>
      <c r="B100" s="1">
        <v>30.0</v>
      </c>
      <c r="C100" s="1" t="s">
        <v>30</v>
      </c>
      <c r="D100" s="1" t="s">
        <v>43</v>
      </c>
      <c r="E100" s="1" t="s">
        <v>23</v>
      </c>
      <c r="F100" s="1">
        <v>3.69</v>
      </c>
      <c r="G100" s="1">
        <v>0.67</v>
      </c>
      <c r="H100" s="1">
        <v>3.02</v>
      </c>
      <c r="I100" s="1">
        <v>7.49</v>
      </c>
      <c r="J100" s="1">
        <v>1.0</v>
      </c>
      <c r="K100" s="1">
        <v>6.8</v>
      </c>
      <c r="L100" s="1">
        <v>61.4</v>
      </c>
      <c r="M100" s="1">
        <v>372.0</v>
      </c>
      <c r="N100" s="1">
        <v>10.6</v>
      </c>
      <c r="O100" s="1">
        <v>30.3</v>
      </c>
    </row>
    <row r="101">
      <c r="A101" s="1" t="s">
        <v>148</v>
      </c>
      <c r="B101" s="1">
        <v>28.0</v>
      </c>
      <c r="C101" s="1" t="s">
        <v>16</v>
      </c>
      <c r="D101" s="1" t="s">
        <v>17</v>
      </c>
      <c r="E101" s="1" t="s">
        <v>23</v>
      </c>
      <c r="F101" s="1">
        <v>7.58</v>
      </c>
      <c r="G101" s="1">
        <v>0.38</v>
      </c>
      <c r="H101" s="1">
        <v>7.2</v>
      </c>
      <c r="I101" s="1">
        <v>7.01</v>
      </c>
      <c r="J101" s="1">
        <v>1.0</v>
      </c>
      <c r="K101" s="1">
        <v>7.7</v>
      </c>
      <c r="L101" s="1">
        <v>53.9</v>
      </c>
      <c r="M101" s="1">
        <v>159.0</v>
      </c>
      <c r="N101" s="1">
        <v>4.3</v>
      </c>
      <c r="O101" s="1">
        <v>24.2</v>
      </c>
    </row>
    <row r="102">
      <c r="A102" s="1" t="s">
        <v>149</v>
      </c>
      <c r="B102" s="1">
        <v>18.0</v>
      </c>
      <c r="C102" s="1" t="s">
        <v>16</v>
      </c>
      <c r="D102" s="1" t="s">
        <v>35</v>
      </c>
      <c r="E102" s="1" t="s">
        <v>18</v>
      </c>
      <c r="F102" s="1">
        <v>9.82</v>
      </c>
      <c r="G102" s="1">
        <v>5.22</v>
      </c>
      <c r="H102" s="1">
        <v>4.6</v>
      </c>
      <c r="I102" s="1">
        <v>6.72</v>
      </c>
      <c r="J102" s="1">
        <v>1.0</v>
      </c>
      <c r="K102" s="1">
        <v>9.2</v>
      </c>
      <c r="L102" s="1">
        <v>58.5</v>
      </c>
      <c r="M102" s="1">
        <v>64.0</v>
      </c>
      <c r="N102" s="1">
        <v>2.7</v>
      </c>
      <c r="O102" s="1">
        <v>10.7</v>
      </c>
    </row>
    <row r="103">
      <c r="A103" s="1" t="s">
        <v>150</v>
      </c>
      <c r="B103" s="1">
        <v>26.0</v>
      </c>
      <c r="C103" s="1" t="s">
        <v>30</v>
      </c>
      <c r="D103" s="1" t="s">
        <v>35</v>
      </c>
      <c r="E103" s="1" t="s">
        <v>23</v>
      </c>
      <c r="F103" s="1">
        <v>8.53</v>
      </c>
      <c r="G103" s="1">
        <v>0.43</v>
      </c>
      <c r="H103" s="1">
        <v>8.1</v>
      </c>
      <c r="I103" s="1">
        <v>7.15</v>
      </c>
      <c r="J103" s="1">
        <v>1.0</v>
      </c>
      <c r="K103" s="1">
        <v>9.5</v>
      </c>
      <c r="L103" s="1">
        <v>45.4</v>
      </c>
      <c r="M103" s="1">
        <v>31.0</v>
      </c>
      <c r="N103" s="1">
        <v>8.3</v>
      </c>
      <c r="O103" s="1">
        <v>6.7</v>
      </c>
    </row>
    <row r="104">
      <c r="A104" s="1" t="s">
        <v>151</v>
      </c>
      <c r="B104" s="1">
        <v>27.0</v>
      </c>
      <c r="C104" s="1" t="s">
        <v>16</v>
      </c>
      <c r="D104" s="1" t="s">
        <v>17</v>
      </c>
      <c r="E104" s="1" t="s">
        <v>27</v>
      </c>
      <c r="F104" s="1">
        <v>7.32</v>
      </c>
      <c r="G104" s="1">
        <v>0.61</v>
      </c>
      <c r="H104" s="1">
        <v>6.71</v>
      </c>
      <c r="I104" s="1">
        <v>7.82</v>
      </c>
      <c r="J104" s="1">
        <v>2.0</v>
      </c>
      <c r="K104" s="1">
        <v>5.1</v>
      </c>
      <c r="L104" s="1">
        <v>74.8</v>
      </c>
      <c r="M104" s="1">
        <v>0.0</v>
      </c>
      <c r="N104" s="1">
        <v>10.9</v>
      </c>
      <c r="O104" s="1">
        <v>41.4</v>
      </c>
    </row>
    <row r="105">
      <c r="A105" s="1" t="s">
        <v>152</v>
      </c>
      <c r="B105" s="1">
        <v>23.0</v>
      </c>
      <c r="C105" s="1" t="s">
        <v>16</v>
      </c>
      <c r="D105" s="1" t="s">
        <v>35</v>
      </c>
      <c r="E105" s="1" t="s">
        <v>23</v>
      </c>
      <c r="F105" s="1">
        <v>4.3</v>
      </c>
      <c r="G105" s="1">
        <v>0.48</v>
      </c>
      <c r="H105" s="1">
        <v>3.82</v>
      </c>
      <c r="I105" s="1">
        <v>7.33</v>
      </c>
      <c r="J105" s="1">
        <v>1.0</v>
      </c>
      <c r="K105" s="1">
        <v>7.0</v>
      </c>
      <c r="L105" s="1">
        <v>66.8</v>
      </c>
      <c r="M105" s="1">
        <v>57.0</v>
      </c>
      <c r="N105" s="1">
        <v>8.1</v>
      </c>
      <c r="O105" s="1">
        <v>27.3</v>
      </c>
    </row>
    <row r="106">
      <c r="A106" s="1" t="s">
        <v>153</v>
      </c>
      <c r="B106" s="1">
        <v>28.0</v>
      </c>
      <c r="C106" s="1" t="s">
        <v>30</v>
      </c>
      <c r="D106" s="1" t="s">
        <v>32</v>
      </c>
      <c r="E106" s="1" t="s">
        <v>18</v>
      </c>
      <c r="F106" s="1">
        <v>12.51</v>
      </c>
      <c r="G106" s="1">
        <v>6.79</v>
      </c>
      <c r="H106" s="1">
        <v>5.72</v>
      </c>
      <c r="I106" s="1">
        <v>6.61</v>
      </c>
      <c r="J106" s="1">
        <v>1.0</v>
      </c>
      <c r="K106" s="1">
        <v>10.0</v>
      </c>
      <c r="L106" s="1">
        <v>33.2</v>
      </c>
      <c r="M106" s="1">
        <v>90.0</v>
      </c>
      <c r="N106" s="1">
        <v>6.6</v>
      </c>
      <c r="O106" s="1">
        <v>2.9</v>
      </c>
    </row>
    <row r="107">
      <c r="A107" s="1" t="s">
        <v>154</v>
      </c>
      <c r="B107" s="1">
        <v>33.0</v>
      </c>
      <c r="C107" s="1" t="s">
        <v>30</v>
      </c>
      <c r="D107" s="1" t="s">
        <v>17</v>
      </c>
      <c r="E107" s="1" t="s">
        <v>27</v>
      </c>
      <c r="F107" s="1">
        <v>4.89</v>
      </c>
      <c r="G107" s="1">
        <v>0.62</v>
      </c>
      <c r="H107" s="1">
        <v>4.27</v>
      </c>
      <c r="I107" s="1">
        <v>7.66</v>
      </c>
      <c r="J107" s="1">
        <v>1.0</v>
      </c>
      <c r="K107" s="1">
        <v>4.3</v>
      </c>
      <c r="L107" s="1">
        <v>68.3</v>
      </c>
      <c r="M107" s="1">
        <v>230.0</v>
      </c>
      <c r="N107" s="1">
        <v>2.0</v>
      </c>
      <c r="O107" s="1">
        <v>39.9</v>
      </c>
    </row>
    <row r="108">
      <c r="A108" s="1" t="s">
        <v>156</v>
      </c>
      <c r="B108" s="1">
        <v>45.0</v>
      </c>
      <c r="C108" s="1" t="s">
        <v>16</v>
      </c>
      <c r="D108" s="1" t="s">
        <v>32</v>
      </c>
      <c r="E108" s="1" t="s">
        <v>18</v>
      </c>
      <c r="F108" s="1">
        <v>11.1</v>
      </c>
      <c r="G108" s="1">
        <v>4.95</v>
      </c>
      <c r="H108" s="1">
        <v>6.15</v>
      </c>
      <c r="I108" s="1">
        <v>6.14</v>
      </c>
      <c r="J108" s="1">
        <v>1.0</v>
      </c>
      <c r="K108" s="1">
        <v>9.5</v>
      </c>
      <c r="L108" s="1">
        <v>36.1</v>
      </c>
      <c r="M108" s="1">
        <v>177.0</v>
      </c>
      <c r="N108" s="1">
        <v>4.6</v>
      </c>
      <c r="O108" s="1">
        <v>8.8</v>
      </c>
    </row>
    <row r="109">
      <c r="A109" s="1" t="s">
        <v>157</v>
      </c>
      <c r="B109" s="1">
        <v>31.0</v>
      </c>
      <c r="C109" s="1" t="s">
        <v>30</v>
      </c>
      <c r="D109" s="1" t="s">
        <v>32</v>
      </c>
      <c r="E109" s="1" t="s">
        <v>27</v>
      </c>
      <c r="F109" s="1">
        <v>10.84</v>
      </c>
      <c r="G109" s="1">
        <v>0.58</v>
      </c>
      <c r="H109" s="1">
        <v>10.26</v>
      </c>
      <c r="I109" s="1">
        <v>6.69</v>
      </c>
      <c r="J109" s="1">
        <v>1.0</v>
      </c>
      <c r="K109" s="1">
        <v>10.0</v>
      </c>
      <c r="L109" s="1">
        <v>36.4</v>
      </c>
      <c r="M109" s="1">
        <v>109.0</v>
      </c>
      <c r="N109" s="1">
        <v>14.9</v>
      </c>
      <c r="O109" s="1">
        <v>0.3</v>
      </c>
    </row>
    <row r="110">
      <c r="A110" s="1" t="s">
        <v>158</v>
      </c>
      <c r="B110" s="1">
        <v>32.0</v>
      </c>
      <c r="C110" s="1" t="s">
        <v>16</v>
      </c>
      <c r="D110" s="1" t="s">
        <v>32</v>
      </c>
      <c r="E110" s="1" t="s">
        <v>18</v>
      </c>
      <c r="F110" s="1">
        <v>13.9</v>
      </c>
      <c r="G110" s="1">
        <v>5.84</v>
      </c>
      <c r="H110" s="1">
        <v>8.06</v>
      </c>
      <c r="I110" s="1">
        <v>6.22</v>
      </c>
      <c r="J110" s="1">
        <v>2.0</v>
      </c>
      <c r="K110" s="1">
        <v>10.0</v>
      </c>
      <c r="L110" s="1">
        <v>26.0</v>
      </c>
      <c r="M110" s="1">
        <v>53.0</v>
      </c>
      <c r="N110" s="1">
        <v>3.0</v>
      </c>
      <c r="O110" s="1">
        <v>8.7</v>
      </c>
    </row>
    <row r="111">
      <c r="A111" s="1" t="s">
        <v>159</v>
      </c>
      <c r="B111" s="1">
        <v>29.0</v>
      </c>
      <c r="C111" s="1" t="s">
        <v>16</v>
      </c>
      <c r="D111" s="1" t="s">
        <v>17</v>
      </c>
      <c r="E111" s="1" t="s">
        <v>18</v>
      </c>
      <c r="F111" s="1">
        <v>12.05</v>
      </c>
      <c r="G111" s="1">
        <v>2.66</v>
      </c>
      <c r="H111" s="1">
        <v>9.39</v>
      </c>
      <c r="I111" s="1">
        <v>6.45</v>
      </c>
      <c r="J111" s="1">
        <v>1.0</v>
      </c>
      <c r="K111" s="1">
        <v>9.6</v>
      </c>
      <c r="L111" s="1">
        <v>44.8</v>
      </c>
      <c r="M111" s="1">
        <v>104.0</v>
      </c>
      <c r="N111" s="1">
        <v>9.3</v>
      </c>
      <c r="O111" s="1">
        <v>4.1</v>
      </c>
    </row>
    <row r="112">
      <c r="A112" s="1" t="s">
        <v>161</v>
      </c>
      <c r="B112" s="1">
        <v>16.0</v>
      </c>
      <c r="C112" s="1" t="s">
        <v>30</v>
      </c>
      <c r="D112" s="1" t="s">
        <v>17</v>
      </c>
      <c r="E112" s="1" t="s">
        <v>27</v>
      </c>
      <c r="F112" s="1">
        <v>6.34</v>
      </c>
      <c r="G112" s="1">
        <v>0.35</v>
      </c>
      <c r="H112" s="1">
        <v>5.99</v>
      </c>
      <c r="I112" s="1">
        <v>7.33</v>
      </c>
      <c r="J112" s="1">
        <v>2.0</v>
      </c>
      <c r="K112" s="1">
        <v>5.0</v>
      </c>
      <c r="L112" s="1">
        <v>86.8</v>
      </c>
      <c r="M112" s="1">
        <v>77.0</v>
      </c>
      <c r="N112" s="1">
        <v>20.0</v>
      </c>
      <c r="O112" s="1">
        <v>54.7</v>
      </c>
    </row>
    <row r="113">
      <c r="A113" s="1" t="s">
        <v>162</v>
      </c>
      <c r="B113" s="1">
        <v>29.0</v>
      </c>
      <c r="C113" s="1" t="s">
        <v>16</v>
      </c>
      <c r="D113" s="1" t="s">
        <v>17</v>
      </c>
      <c r="E113" s="1" t="s">
        <v>23</v>
      </c>
      <c r="F113" s="1">
        <v>11.04</v>
      </c>
      <c r="G113" s="1">
        <v>0.85</v>
      </c>
      <c r="H113" s="1">
        <v>10.19</v>
      </c>
      <c r="I113" s="1">
        <v>6.79</v>
      </c>
      <c r="J113" s="1">
        <v>1.0</v>
      </c>
      <c r="K113" s="1">
        <v>10.0</v>
      </c>
      <c r="L113" s="1">
        <v>42.3</v>
      </c>
      <c r="M113" s="1">
        <v>212.0</v>
      </c>
      <c r="N113" s="1">
        <v>0.0</v>
      </c>
      <c r="O113" s="1">
        <v>4.7</v>
      </c>
    </row>
    <row r="114">
      <c r="A114" s="1" t="s">
        <v>163</v>
      </c>
      <c r="B114" s="1">
        <v>30.0</v>
      </c>
      <c r="C114" s="1" t="s">
        <v>16</v>
      </c>
      <c r="D114" s="1" t="s">
        <v>32</v>
      </c>
      <c r="E114" s="1" t="s">
        <v>18</v>
      </c>
      <c r="F114" s="1">
        <v>11.19</v>
      </c>
      <c r="G114" s="1">
        <v>5.16</v>
      </c>
      <c r="H114" s="1">
        <v>6.03</v>
      </c>
      <c r="I114" s="1">
        <v>6.38</v>
      </c>
      <c r="J114" s="1">
        <v>1.0</v>
      </c>
      <c r="K114" s="1">
        <v>9.2</v>
      </c>
      <c r="L114" s="1">
        <v>35.9</v>
      </c>
      <c r="M114" s="1">
        <v>78.0</v>
      </c>
      <c r="N114" s="1">
        <v>11.5</v>
      </c>
      <c r="O114" s="1">
        <v>2.5</v>
      </c>
    </row>
    <row r="115">
      <c r="A115" s="1" t="s">
        <v>164</v>
      </c>
      <c r="B115" s="1">
        <v>49.0</v>
      </c>
      <c r="C115" s="1" t="s">
        <v>16</v>
      </c>
      <c r="D115" s="1" t="s">
        <v>17</v>
      </c>
      <c r="E115" s="1" t="s">
        <v>27</v>
      </c>
      <c r="F115" s="1">
        <v>10.05</v>
      </c>
      <c r="G115" s="1">
        <v>0.5</v>
      </c>
      <c r="H115" s="1">
        <v>9.55</v>
      </c>
      <c r="I115" s="1">
        <v>8.1</v>
      </c>
      <c r="J115" s="1">
        <v>2.0</v>
      </c>
      <c r="K115" s="1">
        <v>7.1</v>
      </c>
      <c r="L115" s="1">
        <v>56.7</v>
      </c>
      <c r="M115" s="1">
        <v>101.0</v>
      </c>
      <c r="N115" s="1">
        <v>13.9</v>
      </c>
      <c r="O115" s="1">
        <v>32.0</v>
      </c>
    </row>
    <row r="116">
      <c r="A116" s="1" t="s">
        <v>165</v>
      </c>
      <c r="B116" s="1">
        <v>28.0</v>
      </c>
      <c r="C116" s="1" t="s">
        <v>16</v>
      </c>
      <c r="D116" s="1" t="s">
        <v>17</v>
      </c>
      <c r="E116" s="1" t="s">
        <v>23</v>
      </c>
      <c r="F116" s="1">
        <v>11.94</v>
      </c>
      <c r="G116" s="1">
        <v>0.6</v>
      </c>
      <c r="H116" s="1">
        <v>11.34</v>
      </c>
      <c r="I116" s="1">
        <v>5.65</v>
      </c>
      <c r="J116" s="1">
        <v>1.0</v>
      </c>
      <c r="K116" s="1">
        <v>10.0</v>
      </c>
      <c r="L116" s="1">
        <v>37.3</v>
      </c>
      <c r="M116" s="1">
        <v>0.0</v>
      </c>
      <c r="N116" s="1">
        <v>5.7</v>
      </c>
      <c r="O116" s="1">
        <v>0.9</v>
      </c>
    </row>
    <row r="117">
      <c r="A117" s="1" t="s">
        <v>166</v>
      </c>
      <c r="B117" s="1">
        <v>32.0</v>
      </c>
      <c r="C117" s="1" t="s">
        <v>16</v>
      </c>
      <c r="D117" s="1" t="s">
        <v>17</v>
      </c>
      <c r="E117" s="1" t="s">
        <v>18</v>
      </c>
      <c r="F117" s="1">
        <v>7.8</v>
      </c>
      <c r="G117" s="1">
        <v>4.17</v>
      </c>
      <c r="H117" s="1">
        <v>3.63</v>
      </c>
      <c r="I117" s="1">
        <v>6.67</v>
      </c>
      <c r="J117" s="1">
        <v>1.0</v>
      </c>
      <c r="K117" s="1">
        <v>6.9</v>
      </c>
      <c r="L117" s="1">
        <v>52.6</v>
      </c>
      <c r="M117" s="1">
        <v>99.0</v>
      </c>
      <c r="N117" s="1">
        <v>11.6</v>
      </c>
      <c r="O117" s="1">
        <v>14.3</v>
      </c>
    </row>
    <row r="118">
      <c r="A118" s="1" t="s">
        <v>168</v>
      </c>
      <c r="B118" s="1">
        <v>29.0</v>
      </c>
      <c r="C118" s="1" t="s">
        <v>16</v>
      </c>
      <c r="D118" s="1" t="s">
        <v>17</v>
      </c>
      <c r="E118" s="1" t="s">
        <v>27</v>
      </c>
      <c r="F118" s="1">
        <v>11.23</v>
      </c>
      <c r="G118" s="1">
        <v>2.25</v>
      </c>
      <c r="H118" s="1">
        <v>8.98</v>
      </c>
      <c r="I118" s="1">
        <v>8.93</v>
      </c>
      <c r="J118" s="1">
        <v>2.0</v>
      </c>
      <c r="K118" s="1">
        <v>9.3</v>
      </c>
      <c r="L118" s="1">
        <v>55.1</v>
      </c>
      <c r="M118" s="1">
        <v>149.0</v>
      </c>
      <c r="N118" s="1">
        <v>0.0</v>
      </c>
      <c r="O118" s="1">
        <v>28.6</v>
      </c>
    </row>
    <row r="119">
      <c r="A119" s="1" t="s">
        <v>170</v>
      </c>
      <c r="B119" s="1">
        <v>20.0</v>
      </c>
      <c r="C119" s="1" t="s">
        <v>16</v>
      </c>
      <c r="D119" s="1" t="s">
        <v>17</v>
      </c>
      <c r="E119" s="1" t="s">
        <v>27</v>
      </c>
      <c r="F119" s="1">
        <v>8.7</v>
      </c>
      <c r="G119" s="1">
        <v>1.4</v>
      </c>
      <c r="H119" s="1">
        <v>7.3</v>
      </c>
      <c r="I119" s="1">
        <v>6.16</v>
      </c>
      <c r="J119" s="1">
        <v>1.0</v>
      </c>
      <c r="K119" s="1">
        <v>8.4</v>
      </c>
      <c r="L119" s="1">
        <v>56.2</v>
      </c>
      <c r="M119" s="1">
        <v>26.0</v>
      </c>
      <c r="N119" s="1">
        <v>5.4</v>
      </c>
      <c r="O119" s="1">
        <v>2.7</v>
      </c>
    </row>
    <row r="120">
      <c r="A120" s="1" t="s">
        <v>171</v>
      </c>
      <c r="B120" s="1">
        <v>39.0</v>
      </c>
      <c r="C120" s="1" t="s">
        <v>16</v>
      </c>
      <c r="D120" s="1" t="s">
        <v>35</v>
      </c>
      <c r="E120" s="1" t="s">
        <v>23</v>
      </c>
      <c r="F120" s="1">
        <v>1.0</v>
      </c>
      <c r="G120" s="1">
        <v>0.11</v>
      </c>
      <c r="H120" s="1">
        <v>0.89</v>
      </c>
      <c r="I120" s="1">
        <v>7.26</v>
      </c>
      <c r="J120" s="1">
        <v>3.0</v>
      </c>
      <c r="K120" s="1">
        <v>0.0</v>
      </c>
      <c r="L120" s="1">
        <v>100.0</v>
      </c>
      <c r="M120" s="1">
        <v>104.0</v>
      </c>
      <c r="N120" s="1">
        <v>15.7</v>
      </c>
      <c r="O120" s="1">
        <v>87.2</v>
      </c>
    </row>
    <row r="121">
      <c r="A121" s="1" t="s">
        <v>172</v>
      </c>
      <c r="B121" s="1">
        <v>36.0</v>
      </c>
      <c r="C121" s="1" t="s">
        <v>30</v>
      </c>
      <c r="D121" s="1" t="s">
        <v>17</v>
      </c>
      <c r="E121" s="1" t="s">
        <v>18</v>
      </c>
      <c r="F121" s="1">
        <v>10.12</v>
      </c>
      <c r="G121" s="1">
        <v>4.82</v>
      </c>
      <c r="H121" s="1">
        <v>5.3</v>
      </c>
      <c r="I121" s="1">
        <v>7.53</v>
      </c>
      <c r="J121" s="1">
        <v>1.0</v>
      </c>
      <c r="K121" s="1">
        <v>10.0</v>
      </c>
      <c r="L121" s="1">
        <v>47.2</v>
      </c>
      <c r="M121" s="1">
        <v>156.0</v>
      </c>
      <c r="N121" s="1">
        <v>12.6</v>
      </c>
      <c r="O121" s="1">
        <v>5.0</v>
      </c>
    </row>
    <row r="122">
      <c r="A122" s="1" t="s">
        <v>173</v>
      </c>
      <c r="B122" s="1">
        <v>36.0</v>
      </c>
      <c r="C122" s="1" t="s">
        <v>30</v>
      </c>
      <c r="D122" s="1" t="s">
        <v>32</v>
      </c>
      <c r="E122" s="1" t="s">
        <v>27</v>
      </c>
      <c r="F122" s="1">
        <v>10.04</v>
      </c>
      <c r="G122" s="1">
        <v>2.11</v>
      </c>
      <c r="H122" s="1">
        <v>7.93</v>
      </c>
      <c r="I122" s="1">
        <v>5.29</v>
      </c>
      <c r="J122" s="1">
        <v>1.0</v>
      </c>
      <c r="K122" s="1">
        <v>10.0</v>
      </c>
      <c r="L122" s="1">
        <v>52.1</v>
      </c>
      <c r="M122" s="1">
        <v>0.0</v>
      </c>
      <c r="N122" s="1">
        <v>14.6</v>
      </c>
      <c r="O122" s="1">
        <v>6.1</v>
      </c>
    </row>
    <row r="123">
      <c r="A123" s="1" t="s">
        <v>174</v>
      </c>
      <c r="B123" s="1">
        <v>22.0</v>
      </c>
      <c r="C123" s="1" t="s">
        <v>30</v>
      </c>
      <c r="D123" s="1" t="s">
        <v>32</v>
      </c>
      <c r="E123" s="1" t="s">
        <v>23</v>
      </c>
      <c r="F123" s="1">
        <v>6.42</v>
      </c>
      <c r="G123" s="1">
        <v>0.32</v>
      </c>
      <c r="H123" s="1">
        <v>6.1</v>
      </c>
      <c r="I123" s="1">
        <v>7.17</v>
      </c>
      <c r="J123" s="1">
        <v>1.0</v>
      </c>
      <c r="K123" s="1">
        <v>6.7</v>
      </c>
      <c r="L123" s="1">
        <v>73.0</v>
      </c>
      <c r="M123" s="1">
        <v>190.0</v>
      </c>
      <c r="N123" s="1">
        <v>15.4</v>
      </c>
      <c r="O123" s="1">
        <v>42.7</v>
      </c>
    </row>
    <row r="124">
      <c r="A124" s="1" t="s">
        <v>176</v>
      </c>
      <c r="B124" s="1">
        <v>41.0</v>
      </c>
      <c r="C124" s="1" t="s">
        <v>30</v>
      </c>
      <c r="D124" s="1" t="s">
        <v>35</v>
      </c>
      <c r="E124" s="1" t="s">
        <v>23</v>
      </c>
      <c r="F124" s="1">
        <v>9.58</v>
      </c>
      <c r="G124" s="1">
        <v>2.08</v>
      </c>
      <c r="H124" s="1">
        <v>7.5</v>
      </c>
      <c r="I124" s="1">
        <v>8.79</v>
      </c>
      <c r="J124" s="1">
        <v>2.0</v>
      </c>
      <c r="K124" s="1">
        <v>6.6</v>
      </c>
      <c r="L124" s="1">
        <v>80.4</v>
      </c>
      <c r="M124" s="1">
        <v>69.0</v>
      </c>
      <c r="N124" s="1">
        <v>3.8</v>
      </c>
      <c r="O124" s="1">
        <v>30.5</v>
      </c>
    </row>
    <row r="125">
      <c r="A125" s="1" t="s">
        <v>177</v>
      </c>
      <c r="B125" s="1">
        <v>18.0</v>
      </c>
      <c r="C125" s="1" t="s">
        <v>16</v>
      </c>
      <c r="D125" s="1" t="s">
        <v>32</v>
      </c>
      <c r="E125" s="1" t="s">
        <v>27</v>
      </c>
      <c r="F125" s="1">
        <v>7.77</v>
      </c>
      <c r="G125" s="1">
        <v>1.17</v>
      </c>
      <c r="H125" s="1">
        <v>6.6</v>
      </c>
      <c r="I125" s="1">
        <v>5.88</v>
      </c>
      <c r="J125" s="1">
        <v>1.0</v>
      </c>
      <c r="K125" s="1">
        <v>10.0</v>
      </c>
      <c r="L125" s="1">
        <v>40.9</v>
      </c>
      <c r="M125" s="1">
        <v>78.0</v>
      </c>
      <c r="N125" s="1">
        <v>17.0</v>
      </c>
      <c r="O125" s="1">
        <v>0.0</v>
      </c>
    </row>
    <row r="126">
      <c r="A126" s="1" t="s">
        <v>178</v>
      </c>
      <c r="B126" s="1">
        <v>34.0</v>
      </c>
      <c r="C126" s="1" t="s">
        <v>16</v>
      </c>
      <c r="D126" s="1" t="s">
        <v>35</v>
      </c>
      <c r="E126" s="1" t="s">
        <v>27</v>
      </c>
      <c r="F126" s="1">
        <v>7.85</v>
      </c>
      <c r="G126" s="1">
        <v>1.44</v>
      </c>
      <c r="H126" s="1">
        <v>6.41</v>
      </c>
      <c r="I126" s="1">
        <v>5.68</v>
      </c>
      <c r="J126" s="1">
        <v>1.0</v>
      </c>
      <c r="K126" s="1">
        <v>8.1</v>
      </c>
      <c r="L126" s="1">
        <v>70.8</v>
      </c>
      <c r="M126" s="1">
        <v>34.0</v>
      </c>
      <c r="N126" s="1">
        <v>10.5</v>
      </c>
      <c r="O126" s="1">
        <v>8.7</v>
      </c>
    </row>
    <row r="127">
      <c r="A127" s="1" t="s">
        <v>179</v>
      </c>
      <c r="B127" s="1">
        <v>47.0</v>
      </c>
      <c r="C127" s="1" t="s">
        <v>30</v>
      </c>
      <c r="D127" s="1" t="s">
        <v>17</v>
      </c>
      <c r="E127" s="1" t="s">
        <v>27</v>
      </c>
      <c r="F127" s="1">
        <v>6.0</v>
      </c>
      <c r="G127" s="1">
        <v>0.3</v>
      </c>
      <c r="H127" s="1">
        <v>5.7</v>
      </c>
      <c r="I127" s="1">
        <v>6.47</v>
      </c>
      <c r="J127" s="1">
        <v>1.0</v>
      </c>
      <c r="K127" s="1">
        <v>9.4</v>
      </c>
      <c r="L127" s="1">
        <v>49.3</v>
      </c>
      <c r="M127" s="1">
        <v>157.0</v>
      </c>
      <c r="N127" s="1">
        <v>16.4</v>
      </c>
      <c r="O127" s="1">
        <v>9.6</v>
      </c>
    </row>
    <row r="128">
      <c r="A128" s="1" t="s">
        <v>180</v>
      </c>
      <c r="B128" s="1">
        <v>22.0</v>
      </c>
      <c r="C128" s="1" t="s">
        <v>30</v>
      </c>
      <c r="D128" s="1" t="s">
        <v>43</v>
      </c>
      <c r="E128" s="1" t="s">
        <v>23</v>
      </c>
      <c r="F128" s="1">
        <v>9.23</v>
      </c>
      <c r="G128" s="1">
        <v>0.73</v>
      </c>
      <c r="H128" s="1">
        <v>8.5</v>
      </c>
      <c r="I128" s="1">
        <v>7.65</v>
      </c>
      <c r="J128" s="1">
        <v>2.0</v>
      </c>
      <c r="K128" s="1">
        <v>4.8</v>
      </c>
      <c r="L128" s="1">
        <v>67.4</v>
      </c>
      <c r="M128" s="1">
        <v>271.0</v>
      </c>
      <c r="N128" s="1">
        <v>7.9</v>
      </c>
      <c r="O128" s="1">
        <v>52.1</v>
      </c>
    </row>
    <row r="129">
      <c r="A129" s="1" t="s">
        <v>181</v>
      </c>
      <c r="B129" s="1">
        <v>25.0</v>
      </c>
      <c r="C129" s="1" t="s">
        <v>30</v>
      </c>
      <c r="D129" s="1" t="s">
        <v>17</v>
      </c>
      <c r="E129" s="1" t="s">
        <v>27</v>
      </c>
      <c r="F129" s="1">
        <v>11.27</v>
      </c>
      <c r="G129" s="1">
        <v>1.99</v>
      </c>
      <c r="H129" s="1">
        <v>9.28</v>
      </c>
      <c r="I129" s="1">
        <v>7.56</v>
      </c>
      <c r="J129" s="1">
        <v>3.0</v>
      </c>
      <c r="K129" s="1">
        <v>8.9</v>
      </c>
      <c r="L129" s="1">
        <v>59.5</v>
      </c>
      <c r="M129" s="1">
        <v>143.0</v>
      </c>
      <c r="N129" s="1">
        <v>6.6</v>
      </c>
      <c r="O129" s="1">
        <v>41.2</v>
      </c>
    </row>
    <row r="130">
      <c r="A130" s="1" t="s">
        <v>184</v>
      </c>
      <c r="B130" s="1">
        <v>30.0</v>
      </c>
      <c r="C130" s="1" t="s">
        <v>16</v>
      </c>
      <c r="D130" s="1" t="s">
        <v>37</v>
      </c>
      <c r="E130" s="1" t="s">
        <v>18</v>
      </c>
      <c r="F130" s="1">
        <v>9.05</v>
      </c>
      <c r="G130" s="1">
        <v>5.35</v>
      </c>
      <c r="H130" s="1">
        <v>3.7</v>
      </c>
      <c r="I130" s="1">
        <v>6.63</v>
      </c>
      <c r="J130" s="1">
        <v>1.0</v>
      </c>
      <c r="K130" s="1">
        <v>10.0</v>
      </c>
      <c r="L130" s="1">
        <v>40.9</v>
      </c>
      <c r="M130" s="1">
        <v>43.0</v>
      </c>
      <c r="N130" s="1">
        <v>7.6</v>
      </c>
      <c r="O130" s="1">
        <v>0.9</v>
      </c>
    </row>
    <row r="131">
      <c r="A131" s="1" t="s">
        <v>186</v>
      </c>
      <c r="B131" s="1">
        <v>25.0</v>
      </c>
      <c r="C131" s="1" t="s">
        <v>16</v>
      </c>
      <c r="D131" s="1" t="s">
        <v>17</v>
      </c>
      <c r="E131" s="1" t="s">
        <v>23</v>
      </c>
      <c r="F131" s="1">
        <v>8.07</v>
      </c>
      <c r="G131" s="1">
        <v>0.75</v>
      </c>
      <c r="H131" s="1">
        <v>7.32</v>
      </c>
      <c r="I131" s="1">
        <v>7.69</v>
      </c>
      <c r="J131" s="1">
        <v>1.0</v>
      </c>
      <c r="K131" s="1">
        <v>7.9</v>
      </c>
      <c r="L131" s="1">
        <v>56.7</v>
      </c>
      <c r="M131" s="1">
        <v>187.0</v>
      </c>
      <c r="N131" s="1">
        <v>0.0</v>
      </c>
      <c r="O131" s="1">
        <v>26.9</v>
      </c>
    </row>
    <row r="132">
      <c r="A132" s="1" t="s">
        <v>187</v>
      </c>
      <c r="B132" s="1">
        <v>17.0</v>
      </c>
      <c r="C132" s="1" t="s">
        <v>16</v>
      </c>
      <c r="D132" s="1" t="s">
        <v>17</v>
      </c>
      <c r="E132" s="1" t="s">
        <v>27</v>
      </c>
      <c r="F132" s="1">
        <v>5.52</v>
      </c>
      <c r="G132" s="1">
        <v>1.16</v>
      </c>
      <c r="H132" s="1">
        <v>4.36</v>
      </c>
      <c r="I132" s="1">
        <v>8.55</v>
      </c>
      <c r="J132" s="1">
        <v>3.0</v>
      </c>
      <c r="K132" s="1">
        <v>3.7</v>
      </c>
      <c r="L132" s="1">
        <v>79.0</v>
      </c>
      <c r="M132" s="1">
        <v>96.0</v>
      </c>
      <c r="N132" s="1">
        <v>3.2</v>
      </c>
      <c r="O132" s="1">
        <v>67.8</v>
      </c>
    </row>
    <row r="133">
      <c r="A133" s="1" t="s">
        <v>189</v>
      </c>
      <c r="B133" s="1">
        <v>30.0</v>
      </c>
      <c r="C133" s="1" t="s">
        <v>16</v>
      </c>
      <c r="D133" s="1" t="s">
        <v>17</v>
      </c>
      <c r="E133" s="1" t="s">
        <v>27</v>
      </c>
      <c r="F133" s="1">
        <v>10.27</v>
      </c>
      <c r="G133" s="1">
        <v>0.96</v>
      </c>
      <c r="H133" s="1">
        <v>9.31</v>
      </c>
      <c r="I133" s="1">
        <v>8.29</v>
      </c>
      <c r="J133" s="1">
        <v>3.0</v>
      </c>
      <c r="K133" s="1">
        <v>8.3</v>
      </c>
      <c r="L133" s="1">
        <v>60.0</v>
      </c>
      <c r="M133" s="1">
        <v>193.0</v>
      </c>
      <c r="N133" s="1">
        <v>10.8</v>
      </c>
      <c r="O133" s="1">
        <v>33.5</v>
      </c>
    </row>
    <row r="134">
      <c r="A134" s="1" t="s">
        <v>190</v>
      </c>
      <c r="B134" s="1">
        <v>21.0</v>
      </c>
      <c r="C134" s="1" t="s">
        <v>30</v>
      </c>
      <c r="D134" s="1" t="s">
        <v>17</v>
      </c>
      <c r="E134" s="1" t="s">
        <v>18</v>
      </c>
      <c r="F134" s="1">
        <v>9.59</v>
      </c>
      <c r="G134" s="1">
        <v>4.62</v>
      </c>
      <c r="H134" s="1">
        <v>4.97</v>
      </c>
      <c r="I134" s="1">
        <v>6.67</v>
      </c>
      <c r="J134" s="1">
        <v>1.0</v>
      </c>
      <c r="K134" s="1">
        <v>8.8</v>
      </c>
      <c r="L134" s="1">
        <v>56.1</v>
      </c>
      <c r="M134" s="1">
        <v>152.0</v>
      </c>
      <c r="N134" s="1">
        <v>0.0</v>
      </c>
      <c r="O134" s="1">
        <v>6.5</v>
      </c>
    </row>
    <row r="135">
      <c r="A135" s="1" t="s">
        <v>191</v>
      </c>
      <c r="B135" s="1">
        <v>33.0</v>
      </c>
      <c r="C135" s="1" t="s">
        <v>30</v>
      </c>
      <c r="D135" s="1" t="s">
        <v>17</v>
      </c>
      <c r="E135" s="1" t="s">
        <v>27</v>
      </c>
      <c r="F135" s="1">
        <v>12.19</v>
      </c>
      <c r="G135" s="1">
        <v>2.56</v>
      </c>
      <c r="H135" s="1">
        <v>9.63</v>
      </c>
      <c r="I135" s="1">
        <v>4.76</v>
      </c>
      <c r="J135" s="1">
        <v>1.0</v>
      </c>
      <c r="K135" s="1">
        <v>10.0</v>
      </c>
      <c r="L135" s="1">
        <v>39.4</v>
      </c>
      <c r="M135" s="1">
        <v>0.0</v>
      </c>
      <c r="N135" s="1">
        <v>11.1</v>
      </c>
      <c r="O135" s="1">
        <v>0.2</v>
      </c>
    </row>
    <row r="136">
      <c r="A136" s="1" t="s">
        <v>192</v>
      </c>
      <c r="B136" s="1">
        <v>22.0</v>
      </c>
      <c r="C136" s="1" t="s">
        <v>16</v>
      </c>
      <c r="D136" s="1" t="s">
        <v>35</v>
      </c>
      <c r="E136" s="1" t="s">
        <v>18</v>
      </c>
      <c r="F136" s="1">
        <v>6.09</v>
      </c>
      <c r="G136" s="1">
        <v>3.86</v>
      </c>
      <c r="H136" s="1">
        <v>2.23</v>
      </c>
      <c r="I136" s="1">
        <v>6.75</v>
      </c>
      <c r="J136" s="1">
        <v>1.0</v>
      </c>
      <c r="K136" s="1">
        <v>6.4</v>
      </c>
      <c r="L136" s="1">
        <v>64.1</v>
      </c>
      <c r="M136" s="1">
        <v>47.0</v>
      </c>
      <c r="N136" s="1">
        <v>15.9</v>
      </c>
      <c r="O136" s="1">
        <v>18.6</v>
      </c>
    </row>
    <row r="137">
      <c r="A137" s="1" t="s">
        <v>193</v>
      </c>
      <c r="B137" s="1">
        <v>42.0</v>
      </c>
      <c r="C137" s="1" t="s">
        <v>34</v>
      </c>
      <c r="D137" s="1" t="s">
        <v>37</v>
      </c>
      <c r="E137" s="1" t="s">
        <v>27</v>
      </c>
      <c r="F137" s="1">
        <v>5.87</v>
      </c>
      <c r="G137" s="1">
        <v>0.31</v>
      </c>
      <c r="H137" s="1">
        <v>5.56</v>
      </c>
      <c r="I137" s="1">
        <v>7.3</v>
      </c>
      <c r="J137" s="1">
        <v>1.0</v>
      </c>
      <c r="K137" s="1">
        <v>5.8</v>
      </c>
      <c r="L137" s="1">
        <v>68.8</v>
      </c>
      <c r="M137" s="1">
        <v>195.0</v>
      </c>
      <c r="N137" s="1">
        <v>9.7</v>
      </c>
      <c r="O137" s="1">
        <v>43.9</v>
      </c>
    </row>
    <row r="138">
      <c r="A138" s="1" t="s">
        <v>194</v>
      </c>
      <c r="B138" s="1">
        <v>23.0</v>
      </c>
      <c r="C138" s="1" t="s">
        <v>30</v>
      </c>
      <c r="D138" s="1" t="s">
        <v>17</v>
      </c>
      <c r="E138" s="1" t="s">
        <v>18</v>
      </c>
      <c r="F138" s="1">
        <v>9.65</v>
      </c>
      <c r="G138" s="1">
        <v>3.25</v>
      </c>
      <c r="H138" s="1">
        <v>6.4</v>
      </c>
      <c r="I138" s="1">
        <v>6.68</v>
      </c>
      <c r="J138" s="1">
        <v>1.0</v>
      </c>
      <c r="K138" s="1">
        <v>10.0</v>
      </c>
      <c r="L138" s="1">
        <v>50.5</v>
      </c>
      <c r="M138" s="1">
        <v>107.0</v>
      </c>
      <c r="N138" s="1">
        <v>5.8</v>
      </c>
      <c r="O138" s="1">
        <v>4.7</v>
      </c>
    </row>
    <row r="139">
      <c r="A139" s="1" t="s">
        <v>196</v>
      </c>
      <c r="B139" s="1">
        <v>27.0</v>
      </c>
      <c r="C139" s="1" t="s">
        <v>16</v>
      </c>
      <c r="D139" s="1" t="s">
        <v>17</v>
      </c>
      <c r="E139" s="1" t="s">
        <v>27</v>
      </c>
      <c r="F139" s="1">
        <v>9.13</v>
      </c>
      <c r="G139" s="1">
        <v>1.44</v>
      </c>
      <c r="H139" s="1">
        <v>7.69</v>
      </c>
      <c r="I139" s="1">
        <v>6.85</v>
      </c>
      <c r="J139" s="1">
        <v>1.0</v>
      </c>
      <c r="K139" s="1">
        <v>10.0</v>
      </c>
      <c r="L139" s="1">
        <v>34.4</v>
      </c>
      <c r="M139" s="1">
        <v>30.0</v>
      </c>
      <c r="N139" s="1">
        <v>18.4</v>
      </c>
      <c r="O139" s="1">
        <v>4.4</v>
      </c>
    </row>
    <row r="140">
      <c r="A140" s="1" t="s">
        <v>197</v>
      </c>
      <c r="B140" s="1">
        <v>36.0</v>
      </c>
      <c r="C140" s="1" t="s">
        <v>16</v>
      </c>
      <c r="D140" s="1" t="s">
        <v>17</v>
      </c>
      <c r="E140" s="1" t="s">
        <v>23</v>
      </c>
      <c r="F140" s="1">
        <v>5.07</v>
      </c>
      <c r="G140" s="1">
        <v>1.21</v>
      </c>
      <c r="H140" s="1">
        <v>3.86</v>
      </c>
      <c r="I140" s="1">
        <v>8.59</v>
      </c>
      <c r="J140" s="1">
        <v>2.0</v>
      </c>
      <c r="K140" s="1">
        <v>5.2</v>
      </c>
      <c r="L140" s="1">
        <v>79.1</v>
      </c>
      <c r="M140" s="1">
        <v>86.0</v>
      </c>
      <c r="N140" s="1">
        <v>19.1</v>
      </c>
      <c r="O140" s="1">
        <v>45.7</v>
      </c>
    </row>
    <row r="141">
      <c r="A141" s="1" t="s">
        <v>198</v>
      </c>
      <c r="B141" s="1">
        <v>20.0</v>
      </c>
      <c r="C141" s="1" t="s">
        <v>16</v>
      </c>
      <c r="D141" s="1" t="s">
        <v>17</v>
      </c>
      <c r="E141" s="1" t="s">
        <v>18</v>
      </c>
      <c r="F141" s="1">
        <v>8.14</v>
      </c>
      <c r="G141" s="1">
        <v>1.22</v>
      </c>
      <c r="H141" s="1">
        <v>6.92</v>
      </c>
      <c r="I141" s="1">
        <v>8.1</v>
      </c>
      <c r="J141" s="1">
        <v>2.0</v>
      </c>
      <c r="K141" s="1">
        <v>8.5</v>
      </c>
      <c r="L141" s="1">
        <v>56.2</v>
      </c>
      <c r="M141" s="1">
        <v>0.0</v>
      </c>
      <c r="N141" s="1">
        <v>7.5</v>
      </c>
      <c r="O141" s="1">
        <v>22.3</v>
      </c>
    </row>
    <row r="142">
      <c r="A142" s="1" t="s">
        <v>199</v>
      </c>
      <c r="B142" s="1">
        <v>31.0</v>
      </c>
      <c r="C142" s="1" t="s">
        <v>16</v>
      </c>
      <c r="D142" s="1" t="s">
        <v>32</v>
      </c>
      <c r="E142" s="1" t="s">
        <v>23</v>
      </c>
      <c r="F142" s="1">
        <v>11.85</v>
      </c>
      <c r="G142" s="1">
        <v>1.91</v>
      </c>
      <c r="H142" s="1">
        <v>9.94</v>
      </c>
      <c r="I142" s="1">
        <v>6.5</v>
      </c>
      <c r="J142" s="1">
        <v>1.0</v>
      </c>
      <c r="K142" s="1">
        <v>10.0</v>
      </c>
      <c r="L142" s="1">
        <v>41.2</v>
      </c>
      <c r="M142" s="1">
        <v>81.0</v>
      </c>
      <c r="N142" s="1">
        <v>10.4</v>
      </c>
      <c r="O142" s="1">
        <v>2.5</v>
      </c>
    </row>
    <row r="143">
      <c r="A143" s="1" t="s">
        <v>200</v>
      </c>
      <c r="B143" s="1">
        <v>40.0</v>
      </c>
      <c r="C143" s="1" t="s">
        <v>16</v>
      </c>
      <c r="D143" s="1" t="s">
        <v>32</v>
      </c>
      <c r="E143" s="1" t="s">
        <v>18</v>
      </c>
      <c r="F143" s="1">
        <v>10.39</v>
      </c>
      <c r="G143" s="1">
        <v>1.58</v>
      </c>
      <c r="H143" s="1">
        <v>8.81</v>
      </c>
      <c r="I143" s="1">
        <v>7.82</v>
      </c>
      <c r="J143" s="1">
        <v>3.0</v>
      </c>
      <c r="K143" s="1">
        <v>6.8</v>
      </c>
      <c r="L143" s="1">
        <v>73.6</v>
      </c>
      <c r="M143" s="1">
        <v>255.0</v>
      </c>
      <c r="N143" s="1">
        <v>7.4</v>
      </c>
      <c r="O143" s="1">
        <v>50.3</v>
      </c>
    </row>
    <row r="144">
      <c r="A144" s="1" t="s">
        <v>201</v>
      </c>
      <c r="B144" s="1">
        <v>17.0</v>
      </c>
      <c r="C144" s="1" t="s">
        <v>16</v>
      </c>
      <c r="D144" s="1" t="s">
        <v>17</v>
      </c>
      <c r="E144" s="1" t="s">
        <v>23</v>
      </c>
      <c r="F144" s="1">
        <v>3.76</v>
      </c>
      <c r="G144" s="1">
        <v>0.78</v>
      </c>
      <c r="H144" s="1">
        <v>2.98</v>
      </c>
      <c r="I144" s="1">
        <v>7.99</v>
      </c>
      <c r="J144" s="1">
        <v>2.0</v>
      </c>
      <c r="K144" s="1">
        <v>2.9</v>
      </c>
      <c r="L144" s="1">
        <v>79.6</v>
      </c>
      <c r="M144" s="1">
        <v>185.0</v>
      </c>
      <c r="N144" s="1">
        <v>10.0</v>
      </c>
      <c r="O144" s="1">
        <v>60.1</v>
      </c>
    </row>
    <row r="145">
      <c r="A145" s="1" t="s">
        <v>202</v>
      </c>
      <c r="B145" s="1">
        <v>31.0</v>
      </c>
      <c r="C145" s="1" t="s">
        <v>16</v>
      </c>
      <c r="D145" s="1" t="s">
        <v>17</v>
      </c>
      <c r="E145" s="1" t="s">
        <v>23</v>
      </c>
      <c r="F145" s="1">
        <v>5.9</v>
      </c>
      <c r="G145" s="1">
        <v>0.34</v>
      </c>
      <c r="H145" s="1">
        <v>5.56</v>
      </c>
      <c r="I145" s="1">
        <v>7.58</v>
      </c>
      <c r="J145" s="1">
        <v>2.0</v>
      </c>
      <c r="K145" s="1">
        <v>5.5</v>
      </c>
      <c r="L145" s="1">
        <v>67.1</v>
      </c>
      <c r="M145" s="1">
        <v>276.0</v>
      </c>
      <c r="N145" s="1">
        <v>10.8</v>
      </c>
      <c r="O145" s="1">
        <v>49.3</v>
      </c>
    </row>
    <row r="146">
      <c r="A146" s="1" t="s">
        <v>203</v>
      </c>
      <c r="B146" s="1">
        <v>32.0</v>
      </c>
      <c r="C146" s="1" t="s">
        <v>16</v>
      </c>
      <c r="D146" s="1" t="s">
        <v>17</v>
      </c>
      <c r="E146" s="1" t="s">
        <v>27</v>
      </c>
      <c r="F146" s="1">
        <v>8.76</v>
      </c>
      <c r="G146" s="1">
        <v>1.86</v>
      </c>
      <c r="H146" s="1">
        <v>6.9</v>
      </c>
      <c r="I146" s="1">
        <v>7.83</v>
      </c>
      <c r="J146" s="1">
        <v>2.0</v>
      </c>
      <c r="K146" s="1">
        <v>6.2</v>
      </c>
      <c r="L146" s="1">
        <v>54.4</v>
      </c>
      <c r="M146" s="1">
        <v>168.0</v>
      </c>
      <c r="N146" s="1">
        <v>10.0</v>
      </c>
      <c r="O146" s="1">
        <v>30.2</v>
      </c>
    </row>
    <row r="147">
      <c r="A147" s="1" t="s">
        <v>204</v>
      </c>
      <c r="B147" s="1">
        <v>36.0</v>
      </c>
      <c r="C147" s="1" t="s">
        <v>30</v>
      </c>
      <c r="D147" s="1" t="s">
        <v>32</v>
      </c>
      <c r="E147" s="1" t="s">
        <v>27</v>
      </c>
      <c r="F147" s="1">
        <v>12.18</v>
      </c>
      <c r="G147" s="1">
        <v>1.91</v>
      </c>
      <c r="H147" s="1">
        <v>10.27</v>
      </c>
      <c r="I147" s="1">
        <v>6.69</v>
      </c>
      <c r="J147" s="1">
        <v>1.0</v>
      </c>
      <c r="K147" s="1">
        <v>10.0</v>
      </c>
      <c r="L147" s="1">
        <v>36.4</v>
      </c>
      <c r="M147" s="1">
        <v>160.0</v>
      </c>
      <c r="N147" s="1">
        <v>11.2</v>
      </c>
      <c r="O147" s="1">
        <v>0.0</v>
      </c>
    </row>
    <row r="148">
      <c r="A148" s="1" t="s">
        <v>206</v>
      </c>
      <c r="B148" s="1">
        <v>20.0</v>
      </c>
      <c r="C148" s="1" t="s">
        <v>16</v>
      </c>
      <c r="D148" s="1" t="s">
        <v>32</v>
      </c>
      <c r="E148" s="1" t="s">
        <v>23</v>
      </c>
      <c r="F148" s="1">
        <v>6.31</v>
      </c>
      <c r="G148" s="1">
        <v>0.54</v>
      </c>
      <c r="H148" s="1">
        <v>5.77</v>
      </c>
      <c r="I148" s="1">
        <v>9.0</v>
      </c>
      <c r="J148" s="1">
        <v>4.0</v>
      </c>
      <c r="K148" s="1">
        <v>2.7</v>
      </c>
      <c r="L148" s="1">
        <v>100.0</v>
      </c>
      <c r="M148" s="1">
        <v>253.0</v>
      </c>
      <c r="N148" s="1">
        <v>17.9</v>
      </c>
      <c r="O148" s="1">
        <v>97.0</v>
      </c>
    </row>
    <row r="149">
      <c r="A149" s="1" t="s">
        <v>207</v>
      </c>
      <c r="B149" s="1">
        <v>19.0</v>
      </c>
      <c r="C149" s="1" t="s">
        <v>30</v>
      </c>
      <c r="D149" s="1" t="s">
        <v>32</v>
      </c>
      <c r="E149" s="1" t="s">
        <v>18</v>
      </c>
      <c r="F149" s="1">
        <v>8.7</v>
      </c>
      <c r="G149" s="1">
        <v>4.17</v>
      </c>
      <c r="H149" s="1">
        <v>4.53</v>
      </c>
      <c r="I149" s="1">
        <v>5.83</v>
      </c>
      <c r="J149" s="1">
        <v>1.0</v>
      </c>
      <c r="K149" s="1">
        <v>10.0</v>
      </c>
      <c r="L149" s="1">
        <v>44.2</v>
      </c>
      <c r="M149" s="1">
        <v>127.0</v>
      </c>
      <c r="N149" s="1">
        <v>0.0</v>
      </c>
      <c r="O149" s="1">
        <v>8.0</v>
      </c>
    </row>
    <row r="150">
      <c r="A150" s="1" t="s">
        <v>208</v>
      </c>
      <c r="B150" s="1">
        <v>34.0</v>
      </c>
      <c r="C150" s="1" t="s">
        <v>16</v>
      </c>
      <c r="D150" s="1" t="s">
        <v>37</v>
      </c>
      <c r="E150" s="1" t="s">
        <v>18</v>
      </c>
      <c r="F150" s="1">
        <v>7.18</v>
      </c>
      <c r="G150" s="1">
        <v>1.47</v>
      </c>
      <c r="H150" s="1">
        <v>5.71</v>
      </c>
      <c r="I150" s="1">
        <v>6.95</v>
      </c>
      <c r="J150" s="1">
        <v>1.0</v>
      </c>
      <c r="K150" s="1">
        <v>3.6</v>
      </c>
      <c r="L150" s="1">
        <v>64.8</v>
      </c>
      <c r="M150" s="1">
        <v>104.0</v>
      </c>
      <c r="N150" s="1">
        <v>8.0</v>
      </c>
      <c r="O150" s="1">
        <v>43.7</v>
      </c>
    </row>
    <row r="151">
      <c r="A151" s="1" t="s">
        <v>210</v>
      </c>
      <c r="B151" s="1">
        <v>32.0</v>
      </c>
      <c r="C151" s="1" t="s">
        <v>34</v>
      </c>
      <c r="D151" s="1" t="s">
        <v>17</v>
      </c>
      <c r="E151" s="1" t="s">
        <v>27</v>
      </c>
      <c r="F151" s="1">
        <v>9.11</v>
      </c>
      <c r="G151" s="1">
        <v>0.93</v>
      </c>
      <c r="H151" s="1">
        <v>8.18</v>
      </c>
      <c r="I151" s="1">
        <v>6.95</v>
      </c>
      <c r="J151" s="1">
        <v>1.0</v>
      </c>
      <c r="K151" s="1">
        <v>9.0</v>
      </c>
      <c r="L151" s="1">
        <v>45.4</v>
      </c>
      <c r="M151" s="1">
        <v>177.0</v>
      </c>
      <c r="N151" s="1">
        <v>0.7</v>
      </c>
      <c r="O151" s="1">
        <v>20.3</v>
      </c>
    </row>
    <row r="152">
      <c r="A152" s="1" t="s">
        <v>213</v>
      </c>
      <c r="B152" s="1">
        <v>32.0</v>
      </c>
      <c r="C152" s="1" t="s">
        <v>16</v>
      </c>
      <c r="D152" s="1" t="s">
        <v>17</v>
      </c>
      <c r="E152" s="1" t="s">
        <v>23</v>
      </c>
      <c r="F152" s="1">
        <v>7.47</v>
      </c>
      <c r="G152" s="1">
        <v>0.37</v>
      </c>
      <c r="H152" s="1">
        <v>7.1</v>
      </c>
      <c r="I152" s="1">
        <v>7.65</v>
      </c>
      <c r="J152" s="1">
        <v>1.0</v>
      </c>
      <c r="K152" s="1">
        <v>10.0</v>
      </c>
      <c r="L152" s="1">
        <v>37.9</v>
      </c>
      <c r="M152" s="1">
        <v>216.0</v>
      </c>
      <c r="N152" s="1">
        <v>15.5</v>
      </c>
      <c r="O152" s="1">
        <v>1.7</v>
      </c>
    </row>
    <row r="153">
      <c r="A153" s="1" t="s">
        <v>214</v>
      </c>
      <c r="B153" s="1">
        <v>32.0</v>
      </c>
      <c r="C153" s="1" t="s">
        <v>16</v>
      </c>
      <c r="D153" s="1" t="s">
        <v>17</v>
      </c>
      <c r="E153" s="1" t="s">
        <v>23</v>
      </c>
      <c r="F153" s="1">
        <v>8.97</v>
      </c>
      <c r="G153" s="1">
        <v>1.93</v>
      </c>
      <c r="H153" s="1">
        <v>7.04</v>
      </c>
      <c r="I153" s="1">
        <v>8.09</v>
      </c>
      <c r="J153" s="1">
        <v>2.0</v>
      </c>
      <c r="K153" s="1">
        <v>8.2</v>
      </c>
      <c r="L153" s="1">
        <v>51.0</v>
      </c>
      <c r="M153" s="1">
        <v>72.0</v>
      </c>
      <c r="N153" s="1">
        <v>6.7</v>
      </c>
      <c r="O153" s="1">
        <v>29.9</v>
      </c>
    </row>
    <row r="154">
      <c r="A154" s="1" t="s">
        <v>215</v>
      </c>
      <c r="B154" s="1">
        <v>24.0</v>
      </c>
      <c r="C154" s="1" t="s">
        <v>30</v>
      </c>
      <c r="D154" s="1" t="s">
        <v>32</v>
      </c>
      <c r="E154" s="1" t="s">
        <v>23</v>
      </c>
      <c r="F154" s="1">
        <v>7.98</v>
      </c>
      <c r="G154" s="1">
        <v>0.7</v>
      </c>
      <c r="H154" s="1">
        <v>7.28</v>
      </c>
      <c r="I154" s="1">
        <v>7.12</v>
      </c>
      <c r="J154" s="1">
        <v>1.0</v>
      </c>
      <c r="K154" s="1">
        <v>9.5</v>
      </c>
      <c r="L154" s="1">
        <v>50.4</v>
      </c>
      <c r="M154" s="1">
        <v>57.0</v>
      </c>
      <c r="N154" s="1">
        <v>2.3</v>
      </c>
      <c r="O154" s="1">
        <v>7.9</v>
      </c>
    </row>
    <row r="155">
      <c r="A155" s="1" t="s">
        <v>217</v>
      </c>
      <c r="B155" s="1">
        <v>31.0</v>
      </c>
      <c r="C155" s="1" t="s">
        <v>30</v>
      </c>
      <c r="D155" s="1" t="s">
        <v>43</v>
      </c>
      <c r="E155" s="1" t="s">
        <v>27</v>
      </c>
      <c r="F155" s="1">
        <v>7.22</v>
      </c>
      <c r="G155" s="1">
        <v>1.48</v>
      </c>
      <c r="H155" s="1">
        <v>5.74</v>
      </c>
      <c r="I155" s="1">
        <v>6.19</v>
      </c>
      <c r="J155" s="1">
        <v>1.0</v>
      </c>
      <c r="K155" s="1">
        <v>7.9</v>
      </c>
      <c r="L155" s="1">
        <v>48.5</v>
      </c>
      <c r="M155" s="1">
        <v>125.0</v>
      </c>
      <c r="N155" s="1">
        <v>14.3</v>
      </c>
      <c r="O155" s="1">
        <v>9.6</v>
      </c>
    </row>
    <row r="156">
      <c r="A156" s="1" t="s">
        <v>218</v>
      </c>
      <c r="B156" s="1">
        <v>32.0</v>
      </c>
      <c r="C156" s="1" t="s">
        <v>30</v>
      </c>
      <c r="D156" s="1" t="s">
        <v>17</v>
      </c>
      <c r="E156" s="1" t="s">
        <v>23</v>
      </c>
      <c r="F156" s="1">
        <v>7.16</v>
      </c>
      <c r="G156" s="1">
        <v>1.04</v>
      </c>
      <c r="H156" s="1">
        <v>6.12</v>
      </c>
      <c r="I156" s="1">
        <v>8.02</v>
      </c>
      <c r="J156" s="1">
        <v>2.0</v>
      </c>
      <c r="K156" s="1">
        <v>5.5</v>
      </c>
      <c r="L156" s="1">
        <v>77.9</v>
      </c>
      <c r="M156" s="1">
        <v>174.0</v>
      </c>
      <c r="N156" s="1">
        <v>15.1</v>
      </c>
      <c r="O156" s="1">
        <v>59.8</v>
      </c>
    </row>
    <row r="157">
      <c r="A157" s="1" t="s">
        <v>220</v>
      </c>
      <c r="B157" s="1">
        <v>24.0</v>
      </c>
      <c r="C157" s="1" t="s">
        <v>16</v>
      </c>
      <c r="D157" s="1" t="s">
        <v>32</v>
      </c>
      <c r="E157" s="1" t="s">
        <v>18</v>
      </c>
      <c r="F157" s="1">
        <v>16.29</v>
      </c>
      <c r="G157" s="1">
        <v>5.9</v>
      </c>
      <c r="H157" s="1">
        <v>10.39</v>
      </c>
      <c r="I157" s="1">
        <v>6.5</v>
      </c>
      <c r="J157" s="1">
        <v>1.0</v>
      </c>
      <c r="K157" s="1">
        <v>10.0</v>
      </c>
      <c r="L157" s="1">
        <v>33.1</v>
      </c>
      <c r="M157" s="1">
        <v>113.0</v>
      </c>
      <c r="N157" s="1">
        <v>7.3</v>
      </c>
      <c r="O157" s="1">
        <v>4.8</v>
      </c>
    </row>
    <row r="158">
      <c r="A158" s="1" t="s">
        <v>221</v>
      </c>
      <c r="B158" s="1">
        <v>44.0</v>
      </c>
      <c r="C158" s="1" t="s">
        <v>16</v>
      </c>
      <c r="D158" s="1" t="s">
        <v>17</v>
      </c>
      <c r="E158" s="1" t="s">
        <v>27</v>
      </c>
      <c r="F158" s="1">
        <v>9.52</v>
      </c>
      <c r="G158" s="1">
        <v>0.48</v>
      </c>
      <c r="H158" s="1">
        <v>9.04</v>
      </c>
      <c r="I158" s="1">
        <v>5.56</v>
      </c>
      <c r="J158" s="1">
        <v>1.0</v>
      </c>
      <c r="K158" s="1">
        <v>9.9</v>
      </c>
      <c r="L158" s="1">
        <v>44.6</v>
      </c>
      <c r="M158" s="1">
        <v>8.0</v>
      </c>
      <c r="N158" s="1">
        <v>9.9</v>
      </c>
      <c r="O158" s="1">
        <v>0.6</v>
      </c>
    </row>
    <row r="159">
      <c r="A159" s="1" t="s">
        <v>222</v>
      </c>
      <c r="B159" s="1">
        <v>33.0</v>
      </c>
      <c r="C159" s="1" t="s">
        <v>30</v>
      </c>
      <c r="D159" s="1" t="s">
        <v>35</v>
      </c>
      <c r="E159" s="1" t="s">
        <v>18</v>
      </c>
      <c r="F159" s="1">
        <v>12.39</v>
      </c>
      <c r="G159" s="1">
        <v>3.06</v>
      </c>
      <c r="H159" s="1">
        <v>9.33</v>
      </c>
      <c r="I159" s="1">
        <v>6.57</v>
      </c>
      <c r="J159" s="1">
        <v>1.0</v>
      </c>
      <c r="K159" s="1">
        <v>10.0</v>
      </c>
      <c r="L159" s="1">
        <v>37.7</v>
      </c>
      <c r="M159" s="1">
        <v>219.0</v>
      </c>
      <c r="N159" s="1">
        <v>9.2</v>
      </c>
      <c r="O159" s="1">
        <v>7.7</v>
      </c>
    </row>
    <row r="160">
      <c r="A160" s="1" t="s">
        <v>224</v>
      </c>
      <c r="B160" s="1">
        <v>20.0</v>
      </c>
      <c r="C160" s="1" t="s">
        <v>30</v>
      </c>
      <c r="D160" s="1" t="s">
        <v>43</v>
      </c>
      <c r="E160" s="1" t="s">
        <v>18</v>
      </c>
      <c r="F160" s="1">
        <v>8.8</v>
      </c>
      <c r="G160" s="1">
        <v>4.08</v>
      </c>
      <c r="H160" s="1">
        <v>4.72</v>
      </c>
      <c r="I160" s="1">
        <v>5.71</v>
      </c>
      <c r="J160" s="1">
        <v>1.0</v>
      </c>
      <c r="K160" s="1">
        <v>7.8</v>
      </c>
      <c r="L160" s="1">
        <v>58.2</v>
      </c>
      <c r="M160" s="1">
        <v>55.0</v>
      </c>
      <c r="N160" s="1">
        <v>17.8</v>
      </c>
      <c r="O160" s="1">
        <v>16.0</v>
      </c>
    </row>
    <row r="161">
      <c r="A161" s="1" t="s">
        <v>226</v>
      </c>
      <c r="B161" s="1">
        <v>35.0</v>
      </c>
      <c r="C161" s="1" t="s">
        <v>30</v>
      </c>
      <c r="D161" s="1" t="s">
        <v>17</v>
      </c>
      <c r="E161" s="1" t="s">
        <v>27</v>
      </c>
      <c r="F161" s="1">
        <v>8.99</v>
      </c>
      <c r="G161" s="1">
        <v>0.51</v>
      </c>
      <c r="H161" s="1">
        <v>8.48</v>
      </c>
      <c r="I161" s="1">
        <v>6.57</v>
      </c>
      <c r="J161" s="1">
        <v>1.0</v>
      </c>
      <c r="K161" s="1">
        <v>8.4</v>
      </c>
      <c r="L161" s="1">
        <v>55.6</v>
      </c>
      <c r="M161" s="1">
        <v>88.0</v>
      </c>
      <c r="N161" s="1">
        <v>4.1</v>
      </c>
      <c r="O161" s="1">
        <v>20.2</v>
      </c>
    </row>
    <row r="162">
      <c r="A162" s="1" t="s">
        <v>227</v>
      </c>
      <c r="B162" s="1">
        <v>22.0</v>
      </c>
      <c r="C162" s="1" t="s">
        <v>30</v>
      </c>
      <c r="D162" s="1" t="s">
        <v>17</v>
      </c>
      <c r="E162" s="1" t="s">
        <v>27</v>
      </c>
      <c r="F162" s="1">
        <v>9.69</v>
      </c>
      <c r="G162" s="1">
        <v>1.16</v>
      </c>
      <c r="H162" s="1">
        <v>8.53</v>
      </c>
      <c r="I162" s="1">
        <v>6.14</v>
      </c>
      <c r="J162" s="1">
        <v>1.0</v>
      </c>
      <c r="K162" s="1">
        <v>10.0</v>
      </c>
      <c r="L162" s="1">
        <v>45.5</v>
      </c>
      <c r="M162" s="1">
        <v>33.0</v>
      </c>
      <c r="N162" s="1">
        <v>10.5</v>
      </c>
      <c r="O162" s="1">
        <v>0.0</v>
      </c>
    </row>
    <row r="163">
      <c r="A163" s="1" t="s">
        <v>229</v>
      </c>
      <c r="B163" s="1">
        <v>36.0</v>
      </c>
      <c r="C163" s="1" t="s">
        <v>16</v>
      </c>
      <c r="D163" s="1" t="s">
        <v>32</v>
      </c>
      <c r="E163" s="1" t="s">
        <v>27</v>
      </c>
      <c r="F163" s="1">
        <v>9.75</v>
      </c>
      <c r="G163" s="1">
        <v>0.49</v>
      </c>
      <c r="H163" s="1">
        <v>9.26</v>
      </c>
      <c r="I163" s="1">
        <v>7.64</v>
      </c>
      <c r="J163" s="1">
        <v>2.0</v>
      </c>
      <c r="K163" s="1">
        <v>10.0</v>
      </c>
      <c r="L163" s="1">
        <v>52.8</v>
      </c>
      <c r="M163" s="1">
        <v>291.0</v>
      </c>
      <c r="N163" s="1">
        <v>6.1</v>
      </c>
      <c r="O163" s="1">
        <v>13.0</v>
      </c>
    </row>
    <row r="164">
      <c r="A164" s="1" t="s">
        <v>231</v>
      </c>
      <c r="B164" s="1">
        <v>39.0</v>
      </c>
      <c r="C164" s="1" t="s">
        <v>30</v>
      </c>
      <c r="D164" s="1" t="s">
        <v>37</v>
      </c>
      <c r="E164" s="1" t="s">
        <v>18</v>
      </c>
      <c r="F164" s="1">
        <v>12.67</v>
      </c>
      <c r="G164" s="1">
        <v>6.76</v>
      </c>
      <c r="H164" s="1">
        <v>5.91</v>
      </c>
      <c r="I164" s="1">
        <v>6.68</v>
      </c>
      <c r="J164" s="1">
        <v>2.0</v>
      </c>
      <c r="K164" s="1">
        <v>10.0</v>
      </c>
      <c r="L164" s="1">
        <v>43.7</v>
      </c>
      <c r="M164" s="1">
        <v>103.0</v>
      </c>
      <c r="N164" s="1">
        <v>2.4</v>
      </c>
      <c r="O164" s="1">
        <v>16.7</v>
      </c>
    </row>
    <row r="165">
      <c r="A165" s="1" t="s">
        <v>232</v>
      </c>
      <c r="B165" s="1">
        <v>23.0</v>
      </c>
      <c r="C165" s="1" t="s">
        <v>16</v>
      </c>
      <c r="D165" s="1" t="s">
        <v>32</v>
      </c>
      <c r="E165" s="1" t="s">
        <v>18</v>
      </c>
      <c r="F165" s="1">
        <v>12.06</v>
      </c>
      <c r="G165" s="1">
        <v>6.27</v>
      </c>
      <c r="H165" s="1">
        <v>5.79</v>
      </c>
      <c r="I165" s="1">
        <v>5.49</v>
      </c>
      <c r="J165" s="1">
        <v>1.0</v>
      </c>
      <c r="K165" s="1">
        <v>10.0</v>
      </c>
      <c r="L165" s="1">
        <v>43.2</v>
      </c>
      <c r="M165" s="1">
        <v>23.0</v>
      </c>
      <c r="N165" s="1">
        <v>4.1</v>
      </c>
      <c r="O165" s="1">
        <v>0.0</v>
      </c>
    </row>
    <row r="166">
      <c r="A166" s="1" t="s">
        <v>233</v>
      </c>
      <c r="B166" s="1">
        <v>37.0</v>
      </c>
      <c r="C166" s="1" t="s">
        <v>16</v>
      </c>
      <c r="D166" s="1" t="s">
        <v>43</v>
      </c>
      <c r="E166" s="1" t="s">
        <v>18</v>
      </c>
      <c r="F166" s="1">
        <v>7.64</v>
      </c>
      <c r="G166" s="1">
        <v>3.89</v>
      </c>
      <c r="H166" s="1">
        <v>3.75</v>
      </c>
      <c r="I166" s="1">
        <v>8.03</v>
      </c>
      <c r="J166" s="1">
        <v>2.0</v>
      </c>
      <c r="K166" s="1">
        <v>5.1</v>
      </c>
      <c r="L166" s="1">
        <v>70.1</v>
      </c>
      <c r="M166" s="1">
        <v>176.0</v>
      </c>
      <c r="N166" s="1">
        <v>13.7</v>
      </c>
      <c r="O166" s="1">
        <v>48.9</v>
      </c>
    </row>
    <row r="167">
      <c r="A167" s="1" t="s">
        <v>234</v>
      </c>
      <c r="B167" s="1">
        <v>33.0</v>
      </c>
      <c r="C167" s="1" t="s">
        <v>16</v>
      </c>
      <c r="D167" s="1" t="s">
        <v>17</v>
      </c>
      <c r="E167" s="1" t="s">
        <v>27</v>
      </c>
      <c r="F167" s="1">
        <v>10.26</v>
      </c>
      <c r="G167" s="1">
        <v>1.07</v>
      </c>
      <c r="H167" s="1">
        <v>9.19</v>
      </c>
      <c r="I167" s="1">
        <v>5.74</v>
      </c>
      <c r="J167" s="1">
        <v>1.0</v>
      </c>
      <c r="K167" s="1">
        <v>10.0</v>
      </c>
      <c r="L167" s="1">
        <v>42.6</v>
      </c>
      <c r="M167" s="1">
        <v>152.0</v>
      </c>
      <c r="N167" s="1">
        <v>11.8</v>
      </c>
      <c r="O167" s="1">
        <v>0.0</v>
      </c>
    </row>
    <row r="168">
      <c r="A168" s="1" t="s">
        <v>235</v>
      </c>
      <c r="B168" s="1">
        <v>36.0</v>
      </c>
      <c r="C168" s="1" t="s">
        <v>16</v>
      </c>
      <c r="D168" s="1" t="s">
        <v>17</v>
      </c>
      <c r="E168" s="1" t="s">
        <v>18</v>
      </c>
      <c r="F168" s="1">
        <v>5.57</v>
      </c>
      <c r="G168" s="1">
        <v>1.06</v>
      </c>
      <c r="H168" s="1">
        <v>4.51</v>
      </c>
      <c r="I168" s="1">
        <v>7.89</v>
      </c>
      <c r="J168" s="1">
        <v>3.0</v>
      </c>
      <c r="K168" s="1">
        <v>6.7</v>
      </c>
      <c r="L168" s="1">
        <v>73.2</v>
      </c>
      <c r="M168" s="1">
        <v>114.0</v>
      </c>
      <c r="N168" s="1">
        <v>15.4</v>
      </c>
      <c r="O168" s="1">
        <v>58.5</v>
      </c>
    </row>
    <row r="169">
      <c r="A169" s="1" t="s">
        <v>236</v>
      </c>
      <c r="B169" s="1">
        <v>45.0</v>
      </c>
      <c r="C169" s="1" t="s">
        <v>16</v>
      </c>
      <c r="D169" s="1" t="s">
        <v>17</v>
      </c>
      <c r="E169" s="1" t="s">
        <v>18</v>
      </c>
      <c r="F169" s="1">
        <v>8.32</v>
      </c>
      <c r="G169" s="1">
        <v>2.99</v>
      </c>
      <c r="H169" s="1">
        <v>5.33</v>
      </c>
      <c r="I169" s="1">
        <v>6.65</v>
      </c>
      <c r="J169" s="1">
        <v>1.0</v>
      </c>
      <c r="K169" s="1">
        <v>8.3</v>
      </c>
      <c r="L169" s="1">
        <v>49.6</v>
      </c>
      <c r="M169" s="1">
        <v>174.0</v>
      </c>
      <c r="N169" s="1">
        <v>10.1</v>
      </c>
      <c r="O169" s="1">
        <v>22.6</v>
      </c>
    </row>
    <row r="170">
      <c r="A170" s="1" t="s">
        <v>237</v>
      </c>
      <c r="B170" s="1">
        <v>28.0</v>
      </c>
      <c r="C170" s="1" t="s">
        <v>16</v>
      </c>
      <c r="D170" s="1" t="s">
        <v>32</v>
      </c>
      <c r="E170" s="1" t="s">
        <v>27</v>
      </c>
      <c r="F170" s="1">
        <v>10.63</v>
      </c>
      <c r="G170" s="1">
        <v>1.09</v>
      </c>
      <c r="H170" s="1">
        <v>9.54</v>
      </c>
      <c r="I170" s="1">
        <v>6.49</v>
      </c>
      <c r="J170" s="1">
        <v>1.0</v>
      </c>
      <c r="K170" s="1">
        <v>6.9</v>
      </c>
      <c r="L170" s="1">
        <v>50.3</v>
      </c>
      <c r="M170" s="1">
        <v>35.0</v>
      </c>
      <c r="N170" s="1">
        <v>9.4</v>
      </c>
      <c r="O170" s="1">
        <v>18.0</v>
      </c>
    </row>
    <row r="171">
      <c r="A171" s="1" t="s">
        <v>238</v>
      </c>
      <c r="B171" s="1">
        <v>23.0</v>
      </c>
      <c r="C171" s="1" t="s">
        <v>30</v>
      </c>
      <c r="D171" s="1" t="s">
        <v>32</v>
      </c>
      <c r="E171" s="1" t="s">
        <v>27</v>
      </c>
      <c r="F171" s="1">
        <v>11.09</v>
      </c>
      <c r="G171" s="1">
        <v>1.18</v>
      </c>
      <c r="H171" s="1">
        <v>9.91</v>
      </c>
      <c r="I171" s="1">
        <v>7.07</v>
      </c>
      <c r="J171" s="1">
        <v>1.0</v>
      </c>
      <c r="K171" s="1">
        <v>10.0</v>
      </c>
      <c r="L171" s="1">
        <v>44.2</v>
      </c>
      <c r="M171" s="1">
        <v>53.0</v>
      </c>
      <c r="N171" s="1">
        <v>5.5</v>
      </c>
      <c r="O171" s="1">
        <v>0.0</v>
      </c>
    </row>
    <row r="172">
      <c r="A172" s="1" t="s">
        <v>239</v>
      </c>
      <c r="B172" s="1">
        <v>22.0</v>
      </c>
      <c r="C172" s="1" t="s">
        <v>16</v>
      </c>
      <c r="D172" s="1" t="s">
        <v>32</v>
      </c>
      <c r="E172" s="1" t="s">
        <v>27</v>
      </c>
      <c r="F172" s="1">
        <v>6.55</v>
      </c>
      <c r="G172" s="1">
        <v>0.33</v>
      </c>
      <c r="H172" s="1">
        <v>6.22</v>
      </c>
      <c r="I172" s="1">
        <v>7.75</v>
      </c>
      <c r="J172" s="1">
        <v>1.0</v>
      </c>
      <c r="K172" s="1">
        <v>8.7</v>
      </c>
      <c r="L172" s="1">
        <v>61.2</v>
      </c>
      <c r="M172" s="1">
        <v>0.0</v>
      </c>
      <c r="N172" s="1">
        <v>2.6</v>
      </c>
      <c r="O172" s="1">
        <v>19.9</v>
      </c>
    </row>
    <row r="173">
      <c r="A173" s="1" t="s">
        <v>240</v>
      </c>
      <c r="B173" s="1">
        <v>23.0</v>
      </c>
      <c r="C173" s="1" t="s">
        <v>30</v>
      </c>
      <c r="D173" s="1" t="s">
        <v>32</v>
      </c>
      <c r="E173" s="1" t="s">
        <v>18</v>
      </c>
      <c r="F173" s="1">
        <v>10.33</v>
      </c>
      <c r="G173" s="1">
        <v>4.76</v>
      </c>
      <c r="H173" s="1">
        <v>5.57</v>
      </c>
      <c r="I173" s="1">
        <v>7.85</v>
      </c>
      <c r="J173" s="1">
        <v>1.0</v>
      </c>
      <c r="K173" s="1">
        <v>7.9</v>
      </c>
      <c r="L173" s="1">
        <v>57.9</v>
      </c>
      <c r="M173" s="1">
        <v>0.0</v>
      </c>
      <c r="N173" s="1">
        <v>5.2</v>
      </c>
      <c r="O173" s="1">
        <v>28.3</v>
      </c>
    </row>
    <row r="174">
      <c r="A174" s="1" t="s">
        <v>241</v>
      </c>
      <c r="B174" s="1">
        <v>29.0</v>
      </c>
      <c r="C174" s="1" t="s">
        <v>16</v>
      </c>
      <c r="D174" s="1" t="s">
        <v>17</v>
      </c>
      <c r="E174" s="1" t="s">
        <v>27</v>
      </c>
      <c r="F174" s="1">
        <v>9.98</v>
      </c>
      <c r="G174" s="1">
        <v>1.34</v>
      </c>
      <c r="H174" s="1">
        <v>8.64</v>
      </c>
      <c r="I174" s="1">
        <v>6.83</v>
      </c>
      <c r="J174" s="1">
        <v>1.0</v>
      </c>
      <c r="K174" s="1">
        <v>10.0</v>
      </c>
      <c r="L174" s="1">
        <v>35.5</v>
      </c>
      <c r="M174" s="1">
        <v>224.0</v>
      </c>
      <c r="N174" s="1">
        <v>10.0</v>
      </c>
      <c r="O174" s="1">
        <v>8.3</v>
      </c>
    </row>
    <row r="175">
      <c r="A175" s="1" t="s">
        <v>242</v>
      </c>
      <c r="B175" s="1">
        <v>32.0</v>
      </c>
      <c r="C175" s="1" t="s">
        <v>16</v>
      </c>
      <c r="D175" s="1" t="s">
        <v>17</v>
      </c>
      <c r="E175" s="1" t="s">
        <v>23</v>
      </c>
      <c r="F175" s="1">
        <v>7.99</v>
      </c>
      <c r="G175" s="1">
        <v>0.4</v>
      </c>
      <c r="H175" s="1">
        <v>7.59</v>
      </c>
      <c r="I175" s="1">
        <v>7.47</v>
      </c>
      <c r="J175" s="1">
        <v>1.0</v>
      </c>
      <c r="K175" s="1">
        <v>9.1</v>
      </c>
      <c r="L175" s="1">
        <v>57.4</v>
      </c>
      <c r="M175" s="1">
        <v>226.0</v>
      </c>
      <c r="N175" s="1">
        <v>9.6</v>
      </c>
      <c r="O175" s="1">
        <v>28.9</v>
      </c>
    </row>
    <row r="176">
      <c r="A176" s="1" t="s">
        <v>243</v>
      </c>
      <c r="B176" s="1">
        <v>32.0</v>
      </c>
      <c r="C176" s="1" t="s">
        <v>30</v>
      </c>
      <c r="D176" s="1" t="s">
        <v>32</v>
      </c>
      <c r="E176" s="1" t="s">
        <v>18</v>
      </c>
      <c r="F176" s="1">
        <v>11.22</v>
      </c>
      <c r="G176" s="1">
        <v>3.89</v>
      </c>
      <c r="H176" s="1">
        <v>7.33</v>
      </c>
      <c r="I176" s="1">
        <v>6.39</v>
      </c>
      <c r="J176" s="1">
        <v>1.0</v>
      </c>
      <c r="K176" s="1">
        <v>10.0</v>
      </c>
      <c r="L176" s="1">
        <v>39.3</v>
      </c>
      <c r="M176" s="1">
        <v>96.0</v>
      </c>
      <c r="N176" s="1">
        <v>7.2</v>
      </c>
      <c r="O176" s="1">
        <v>0.0</v>
      </c>
    </row>
    <row r="177">
      <c r="A177" s="1" t="s">
        <v>244</v>
      </c>
      <c r="B177" s="1">
        <v>36.0</v>
      </c>
      <c r="C177" s="1" t="s">
        <v>16</v>
      </c>
      <c r="D177" s="1" t="s">
        <v>43</v>
      </c>
      <c r="E177" s="1" t="s">
        <v>27</v>
      </c>
      <c r="F177" s="1">
        <v>4.1</v>
      </c>
      <c r="G177" s="1">
        <v>0.21</v>
      </c>
      <c r="H177" s="1">
        <v>3.89</v>
      </c>
      <c r="I177" s="1">
        <v>7.99</v>
      </c>
      <c r="J177" s="1">
        <v>1.0</v>
      </c>
      <c r="K177" s="1">
        <v>4.1</v>
      </c>
      <c r="L177" s="1">
        <v>79.1</v>
      </c>
      <c r="M177" s="1">
        <v>253.0</v>
      </c>
      <c r="N177" s="1">
        <v>7.8</v>
      </c>
      <c r="O177" s="1">
        <v>45.3</v>
      </c>
    </row>
    <row r="178">
      <c r="A178" s="1" t="s">
        <v>245</v>
      </c>
      <c r="B178" s="1">
        <v>30.0</v>
      </c>
      <c r="C178" s="1" t="s">
        <v>16</v>
      </c>
      <c r="D178" s="1" t="s">
        <v>35</v>
      </c>
      <c r="E178" s="1" t="s">
        <v>18</v>
      </c>
      <c r="F178" s="1">
        <v>10.48</v>
      </c>
      <c r="G178" s="1">
        <v>5.65</v>
      </c>
      <c r="H178" s="1">
        <v>4.83</v>
      </c>
      <c r="I178" s="1">
        <v>7.18</v>
      </c>
      <c r="J178" s="1">
        <v>1.0</v>
      </c>
      <c r="K178" s="1">
        <v>10.0</v>
      </c>
      <c r="L178" s="1">
        <v>36.8</v>
      </c>
      <c r="M178" s="1">
        <v>84.0</v>
      </c>
      <c r="N178" s="1">
        <v>23.9</v>
      </c>
      <c r="O178" s="1">
        <v>0.0</v>
      </c>
    </row>
    <row r="179">
      <c r="A179" s="1" t="s">
        <v>246</v>
      </c>
      <c r="B179" s="1">
        <v>41.0</v>
      </c>
      <c r="C179" s="1" t="s">
        <v>16</v>
      </c>
      <c r="D179" s="1" t="s">
        <v>43</v>
      </c>
      <c r="E179" s="1" t="s">
        <v>18</v>
      </c>
      <c r="F179" s="1">
        <v>8.57</v>
      </c>
      <c r="G179" s="1">
        <v>1.57</v>
      </c>
      <c r="H179" s="1">
        <v>7.0</v>
      </c>
      <c r="I179" s="1">
        <v>7.15</v>
      </c>
      <c r="J179" s="1">
        <v>1.0</v>
      </c>
      <c r="K179" s="1">
        <v>8.3</v>
      </c>
      <c r="L179" s="1">
        <v>52.8</v>
      </c>
      <c r="M179" s="1">
        <v>95.0</v>
      </c>
      <c r="N179" s="1">
        <v>10.7</v>
      </c>
      <c r="O179" s="1">
        <v>17.4</v>
      </c>
    </row>
    <row r="180">
      <c r="A180" s="1" t="s">
        <v>247</v>
      </c>
      <c r="B180" s="1">
        <v>27.0</v>
      </c>
      <c r="C180" s="1" t="s">
        <v>16</v>
      </c>
      <c r="D180" s="1" t="s">
        <v>37</v>
      </c>
      <c r="E180" s="1" t="s">
        <v>18</v>
      </c>
      <c r="F180" s="1">
        <v>8.16</v>
      </c>
      <c r="G180" s="1">
        <v>2.48</v>
      </c>
      <c r="H180" s="1">
        <v>5.68</v>
      </c>
      <c r="I180" s="1">
        <v>5.7</v>
      </c>
      <c r="J180" s="1">
        <v>1.0</v>
      </c>
      <c r="K180" s="1">
        <v>6.3</v>
      </c>
      <c r="L180" s="1">
        <v>62.4</v>
      </c>
      <c r="M180" s="1">
        <v>111.0</v>
      </c>
      <c r="N180" s="1">
        <v>11.1</v>
      </c>
      <c r="O180" s="1">
        <v>30.0</v>
      </c>
    </row>
    <row r="181">
      <c r="A181" s="1" t="s">
        <v>248</v>
      </c>
      <c r="B181" s="1">
        <v>51.0</v>
      </c>
      <c r="C181" s="1" t="s">
        <v>34</v>
      </c>
      <c r="D181" s="1" t="s">
        <v>32</v>
      </c>
      <c r="E181" s="1" t="s">
        <v>18</v>
      </c>
      <c r="F181" s="1">
        <v>16.36</v>
      </c>
      <c r="G181" s="1">
        <v>3.01</v>
      </c>
      <c r="H181" s="1">
        <v>13.35</v>
      </c>
      <c r="I181" s="1">
        <v>6.42</v>
      </c>
      <c r="J181" s="1">
        <v>1.0</v>
      </c>
      <c r="K181" s="1">
        <v>10.0</v>
      </c>
      <c r="L181" s="1">
        <v>24.6</v>
      </c>
      <c r="M181" s="1">
        <v>62.0</v>
      </c>
      <c r="N181" s="1">
        <v>5.5</v>
      </c>
      <c r="O181" s="1">
        <v>0.0</v>
      </c>
    </row>
    <row r="182">
      <c r="A182" s="1" t="s">
        <v>249</v>
      </c>
      <c r="B182" s="1">
        <v>35.0</v>
      </c>
      <c r="C182" s="1" t="s">
        <v>16</v>
      </c>
      <c r="D182" s="1" t="s">
        <v>17</v>
      </c>
      <c r="E182" s="1" t="s">
        <v>27</v>
      </c>
      <c r="F182" s="1">
        <v>4.56</v>
      </c>
      <c r="G182" s="1">
        <v>0.57</v>
      </c>
      <c r="H182" s="1">
        <v>3.99</v>
      </c>
      <c r="I182" s="1">
        <v>8.06</v>
      </c>
      <c r="J182" s="1">
        <v>2.0</v>
      </c>
      <c r="K182" s="1">
        <v>6.3</v>
      </c>
      <c r="L182" s="1">
        <v>75.6</v>
      </c>
      <c r="M182" s="1">
        <v>118.0</v>
      </c>
      <c r="N182" s="1">
        <v>9.6</v>
      </c>
      <c r="O182" s="1">
        <v>47.3</v>
      </c>
    </row>
    <row r="183">
      <c r="A183" s="1" t="s">
        <v>250</v>
      </c>
      <c r="B183" s="1">
        <v>23.0</v>
      </c>
      <c r="C183" s="1" t="s">
        <v>30</v>
      </c>
      <c r="D183" s="1" t="s">
        <v>17</v>
      </c>
      <c r="E183" s="1" t="s">
        <v>27</v>
      </c>
      <c r="F183" s="1">
        <v>9.88</v>
      </c>
      <c r="G183" s="1">
        <v>1.74</v>
      </c>
      <c r="H183" s="1">
        <v>8.14</v>
      </c>
      <c r="I183" s="1">
        <v>6.3</v>
      </c>
      <c r="J183" s="1">
        <v>1.0</v>
      </c>
      <c r="K183" s="1">
        <v>10.0</v>
      </c>
      <c r="L183" s="1">
        <v>51.3</v>
      </c>
      <c r="M183" s="1">
        <v>175.0</v>
      </c>
      <c r="N183" s="1">
        <v>10.6</v>
      </c>
      <c r="O183" s="1">
        <v>15.0</v>
      </c>
    </row>
    <row r="184">
      <c r="A184" s="1" t="s">
        <v>251</v>
      </c>
      <c r="B184" s="1">
        <v>21.0</v>
      </c>
      <c r="C184" s="1" t="s">
        <v>16</v>
      </c>
      <c r="D184" s="1" t="s">
        <v>17</v>
      </c>
      <c r="E184" s="1" t="s">
        <v>27</v>
      </c>
      <c r="F184" s="1">
        <v>7.35</v>
      </c>
      <c r="G184" s="1">
        <v>0.94</v>
      </c>
      <c r="H184" s="1">
        <v>6.41</v>
      </c>
      <c r="I184" s="1">
        <v>6.18</v>
      </c>
      <c r="J184" s="1">
        <v>1.0</v>
      </c>
      <c r="K184" s="1">
        <v>8.0</v>
      </c>
      <c r="L184" s="1">
        <v>53.9</v>
      </c>
      <c r="M184" s="1">
        <v>120.0</v>
      </c>
      <c r="N184" s="1">
        <v>10.2</v>
      </c>
      <c r="O184" s="1">
        <v>8.2</v>
      </c>
    </row>
    <row r="185">
      <c r="A185" s="1" t="s">
        <v>252</v>
      </c>
      <c r="B185" s="1">
        <v>33.0</v>
      </c>
      <c r="C185" s="1" t="s">
        <v>30</v>
      </c>
      <c r="D185" s="1" t="s">
        <v>32</v>
      </c>
      <c r="E185" s="1" t="s">
        <v>23</v>
      </c>
      <c r="F185" s="1">
        <v>6.92</v>
      </c>
      <c r="G185" s="1">
        <v>0.5</v>
      </c>
      <c r="H185" s="1">
        <v>6.42</v>
      </c>
      <c r="I185" s="1">
        <v>8.57</v>
      </c>
      <c r="J185" s="1">
        <v>2.0</v>
      </c>
      <c r="K185" s="1">
        <v>5.7</v>
      </c>
      <c r="L185" s="1">
        <v>79.0</v>
      </c>
      <c r="M185" s="1">
        <v>168.0</v>
      </c>
      <c r="N185" s="1">
        <v>0.0</v>
      </c>
      <c r="O185" s="1">
        <v>44.5</v>
      </c>
    </row>
    <row r="186">
      <c r="A186" s="1" t="s">
        <v>253</v>
      </c>
      <c r="B186" s="1">
        <v>28.0</v>
      </c>
      <c r="C186" s="1" t="s">
        <v>30</v>
      </c>
      <c r="D186" s="1" t="s">
        <v>35</v>
      </c>
      <c r="E186" s="1" t="s">
        <v>23</v>
      </c>
      <c r="F186" s="1">
        <v>7.05</v>
      </c>
      <c r="G186" s="1">
        <v>0.35</v>
      </c>
      <c r="H186" s="1">
        <v>6.7</v>
      </c>
      <c r="I186" s="1">
        <v>7.72</v>
      </c>
      <c r="J186" s="1">
        <v>1.0</v>
      </c>
      <c r="K186" s="1">
        <v>6.8</v>
      </c>
      <c r="L186" s="1">
        <v>59.1</v>
      </c>
      <c r="M186" s="1">
        <v>187.0</v>
      </c>
      <c r="N186" s="1">
        <v>0.0</v>
      </c>
      <c r="O186" s="1">
        <v>32.0</v>
      </c>
    </row>
    <row r="187">
      <c r="A187" s="1" t="s">
        <v>254</v>
      </c>
      <c r="B187" s="1">
        <v>35.0</v>
      </c>
      <c r="C187" s="1" t="s">
        <v>30</v>
      </c>
      <c r="D187" s="1" t="s">
        <v>32</v>
      </c>
      <c r="E187" s="1" t="s">
        <v>27</v>
      </c>
      <c r="F187" s="1">
        <v>12.92</v>
      </c>
      <c r="G187" s="1">
        <v>2.51</v>
      </c>
      <c r="H187" s="1">
        <v>10.41</v>
      </c>
      <c r="I187" s="1">
        <v>6.33</v>
      </c>
      <c r="J187" s="1">
        <v>1.0</v>
      </c>
      <c r="K187" s="1">
        <v>10.0</v>
      </c>
      <c r="L187" s="1">
        <v>43.7</v>
      </c>
      <c r="M187" s="1">
        <v>110.0</v>
      </c>
      <c r="N187" s="1">
        <v>1.8</v>
      </c>
      <c r="O187" s="1">
        <v>0.2</v>
      </c>
    </row>
    <row r="188">
      <c r="A188" s="1" t="s">
        <v>255</v>
      </c>
      <c r="B188" s="1">
        <v>33.0</v>
      </c>
      <c r="C188" s="1" t="s">
        <v>16</v>
      </c>
      <c r="D188" s="1" t="s">
        <v>32</v>
      </c>
      <c r="E188" s="1" t="s">
        <v>23</v>
      </c>
      <c r="F188" s="1">
        <v>11.06</v>
      </c>
      <c r="G188" s="1">
        <v>2.88</v>
      </c>
      <c r="H188" s="1">
        <v>8.18</v>
      </c>
      <c r="I188" s="1">
        <v>5.86</v>
      </c>
      <c r="J188" s="1">
        <v>1.0</v>
      </c>
      <c r="K188" s="1">
        <v>10.0</v>
      </c>
      <c r="L188" s="1">
        <v>28.1</v>
      </c>
      <c r="M188" s="1">
        <v>25.0</v>
      </c>
      <c r="N188" s="1">
        <v>7.4</v>
      </c>
      <c r="O188" s="1">
        <v>0.0</v>
      </c>
    </row>
    <row r="189">
      <c r="A189" s="1" t="s">
        <v>256</v>
      </c>
      <c r="B189" s="1">
        <v>29.0</v>
      </c>
      <c r="C189" s="1" t="s">
        <v>16</v>
      </c>
      <c r="D189" s="1" t="s">
        <v>17</v>
      </c>
      <c r="E189" s="1" t="s">
        <v>18</v>
      </c>
      <c r="F189" s="1">
        <v>10.75</v>
      </c>
      <c r="G189" s="1">
        <v>6.43</v>
      </c>
      <c r="H189" s="1">
        <v>4.32</v>
      </c>
      <c r="I189" s="1">
        <v>6.12</v>
      </c>
      <c r="J189" s="1">
        <v>1.0</v>
      </c>
      <c r="K189" s="1">
        <v>7.4</v>
      </c>
      <c r="L189" s="1">
        <v>66.8</v>
      </c>
      <c r="M189" s="1">
        <v>0.0</v>
      </c>
      <c r="N189" s="1">
        <v>7.8</v>
      </c>
      <c r="O189" s="1">
        <v>28.6</v>
      </c>
    </row>
    <row r="190">
      <c r="A190" s="1" t="s">
        <v>257</v>
      </c>
      <c r="B190" s="1">
        <v>23.0</v>
      </c>
      <c r="C190" s="1" t="s">
        <v>16</v>
      </c>
      <c r="D190" s="1" t="s">
        <v>17</v>
      </c>
      <c r="E190" s="1" t="s">
        <v>18</v>
      </c>
      <c r="F190" s="1">
        <v>12.27</v>
      </c>
      <c r="G190" s="1">
        <v>6.71</v>
      </c>
      <c r="H190" s="1">
        <v>5.56</v>
      </c>
      <c r="I190" s="1">
        <v>7.53</v>
      </c>
      <c r="J190" s="1">
        <v>1.0</v>
      </c>
      <c r="K190" s="1">
        <v>10.0</v>
      </c>
      <c r="L190" s="1">
        <v>48.6</v>
      </c>
      <c r="M190" s="1">
        <v>91.0</v>
      </c>
      <c r="N190" s="1">
        <v>12.5</v>
      </c>
      <c r="O190" s="1">
        <v>0.0</v>
      </c>
    </row>
    <row r="191">
      <c r="A191" s="1" t="s">
        <v>258</v>
      </c>
      <c r="B191" s="1">
        <v>17.0</v>
      </c>
      <c r="C191" s="1" t="s">
        <v>30</v>
      </c>
      <c r="D191" s="1" t="s">
        <v>17</v>
      </c>
      <c r="E191" s="1" t="s">
        <v>18</v>
      </c>
      <c r="F191" s="1">
        <v>13.51</v>
      </c>
      <c r="G191" s="1">
        <v>2.03</v>
      </c>
      <c r="H191" s="1">
        <v>11.48</v>
      </c>
      <c r="I191" s="1">
        <v>6.35</v>
      </c>
      <c r="J191" s="1">
        <v>1.0</v>
      </c>
      <c r="K191" s="1">
        <v>10.0</v>
      </c>
      <c r="L191" s="1">
        <v>36.0</v>
      </c>
      <c r="M191" s="1">
        <v>58.0</v>
      </c>
      <c r="N191" s="1">
        <v>0.0</v>
      </c>
      <c r="O191" s="1">
        <v>0.0</v>
      </c>
    </row>
    <row r="192">
      <c r="A192" s="1" t="s">
        <v>259</v>
      </c>
      <c r="B192" s="1">
        <v>26.0</v>
      </c>
      <c r="C192" s="1" t="s">
        <v>30</v>
      </c>
      <c r="D192" s="1" t="s">
        <v>32</v>
      </c>
      <c r="E192" s="1" t="s">
        <v>27</v>
      </c>
      <c r="F192" s="1">
        <v>10.19</v>
      </c>
      <c r="G192" s="1">
        <v>0.84</v>
      </c>
      <c r="H192" s="1">
        <v>9.35</v>
      </c>
      <c r="I192" s="1">
        <v>6.39</v>
      </c>
      <c r="J192" s="1">
        <v>1.0</v>
      </c>
      <c r="K192" s="1">
        <v>10.0</v>
      </c>
      <c r="L192" s="1">
        <v>30.9</v>
      </c>
      <c r="M192" s="1">
        <v>101.0</v>
      </c>
      <c r="N192" s="1">
        <v>3.4</v>
      </c>
      <c r="O192" s="1">
        <v>0.0</v>
      </c>
    </row>
    <row r="193">
      <c r="A193" s="1" t="s">
        <v>260</v>
      </c>
      <c r="B193" s="1">
        <v>36.0</v>
      </c>
      <c r="C193" s="1" t="s">
        <v>30</v>
      </c>
      <c r="D193" s="1" t="s">
        <v>35</v>
      </c>
      <c r="E193" s="1" t="s">
        <v>23</v>
      </c>
      <c r="F193" s="1">
        <v>7.02</v>
      </c>
      <c r="G193" s="1">
        <v>0.71</v>
      </c>
      <c r="H193" s="1">
        <v>6.31</v>
      </c>
      <c r="I193" s="1">
        <v>7.81</v>
      </c>
      <c r="J193" s="1">
        <v>2.0</v>
      </c>
      <c r="K193" s="1">
        <v>6.4</v>
      </c>
      <c r="L193" s="1">
        <v>69.6</v>
      </c>
      <c r="M193" s="1">
        <v>118.0</v>
      </c>
      <c r="N193" s="1">
        <v>15.6</v>
      </c>
      <c r="O193" s="1">
        <v>36.1</v>
      </c>
    </row>
    <row r="194">
      <c r="A194" s="1" t="s">
        <v>261</v>
      </c>
      <c r="B194" s="1">
        <v>31.0</v>
      </c>
      <c r="C194" s="1" t="s">
        <v>16</v>
      </c>
      <c r="D194" s="1" t="s">
        <v>17</v>
      </c>
      <c r="E194" s="1" t="s">
        <v>18</v>
      </c>
      <c r="F194" s="1">
        <v>7.34</v>
      </c>
      <c r="G194" s="1">
        <v>2.24</v>
      </c>
      <c r="H194" s="1">
        <v>5.1</v>
      </c>
      <c r="I194" s="1">
        <v>6.66</v>
      </c>
      <c r="J194" s="1">
        <v>1.0</v>
      </c>
      <c r="K194" s="1">
        <v>9.1</v>
      </c>
      <c r="L194" s="1">
        <v>41.9</v>
      </c>
      <c r="M194" s="1">
        <v>295.0</v>
      </c>
      <c r="N194" s="1">
        <v>9.4</v>
      </c>
      <c r="O194" s="1">
        <v>16.1</v>
      </c>
    </row>
    <row r="195">
      <c r="A195" s="1" t="s">
        <v>262</v>
      </c>
      <c r="B195" s="1">
        <v>20.0</v>
      </c>
      <c r="C195" s="1" t="s">
        <v>30</v>
      </c>
      <c r="D195" s="1" t="s">
        <v>32</v>
      </c>
      <c r="E195" s="1" t="s">
        <v>23</v>
      </c>
      <c r="F195" s="1">
        <v>10.4</v>
      </c>
      <c r="G195" s="1">
        <v>0.54</v>
      </c>
      <c r="H195" s="1">
        <v>9.86</v>
      </c>
      <c r="I195" s="1">
        <v>7.94</v>
      </c>
      <c r="J195" s="1">
        <v>1.0</v>
      </c>
      <c r="K195" s="1">
        <v>10.0</v>
      </c>
      <c r="L195" s="1">
        <v>45.1</v>
      </c>
      <c r="M195" s="1">
        <v>0.0</v>
      </c>
      <c r="N195" s="1">
        <v>10.7</v>
      </c>
      <c r="O195" s="1">
        <v>0.0</v>
      </c>
    </row>
    <row r="196">
      <c r="A196" s="1" t="s">
        <v>263</v>
      </c>
      <c r="B196" s="1">
        <v>31.0</v>
      </c>
      <c r="C196" s="1" t="s">
        <v>30</v>
      </c>
      <c r="D196" s="1" t="s">
        <v>35</v>
      </c>
      <c r="E196" s="1" t="s">
        <v>18</v>
      </c>
      <c r="F196" s="1">
        <v>10.82</v>
      </c>
      <c r="G196" s="1">
        <v>4.01</v>
      </c>
      <c r="H196" s="1">
        <v>6.81</v>
      </c>
      <c r="I196" s="1">
        <v>7.87</v>
      </c>
      <c r="J196" s="1">
        <v>2.0</v>
      </c>
      <c r="K196" s="1">
        <v>10.0</v>
      </c>
      <c r="L196" s="1">
        <v>50.2</v>
      </c>
      <c r="M196" s="1">
        <v>0.0</v>
      </c>
      <c r="N196" s="1">
        <v>16.3</v>
      </c>
      <c r="O196" s="1">
        <v>19.3</v>
      </c>
    </row>
    <row r="197">
      <c r="A197" s="1" t="s">
        <v>264</v>
      </c>
      <c r="B197" s="1">
        <v>33.0</v>
      </c>
      <c r="C197" s="1" t="s">
        <v>16</v>
      </c>
      <c r="D197" s="1" t="s">
        <v>43</v>
      </c>
      <c r="E197" s="1" t="s">
        <v>23</v>
      </c>
      <c r="F197" s="1">
        <v>5.85</v>
      </c>
      <c r="G197" s="1">
        <v>0.58</v>
      </c>
      <c r="H197" s="1">
        <v>5.27</v>
      </c>
      <c r="I197" s="1">
        <v>7.18</v>
      </c>
      <c r="J197" s="1">
        <v>1.0</v>
      </c>
      <c r="K197" s="1">
        <v>7.4</v>
      </c>
      <c r="L197" s="1">
        <v>54.0</v>
      </c>
      <c r="M197" s="1">
        <v>148.0</v>
      </c>
      <c r="N197" s="1">
        <v>2.0</v>
      </c>
      <c r="O197" s="1">
        <v>20.3</v>
      </c>
    </row>
    <row r="198">
      <c r="A198" s="1" t="s">
        <v>265</v>
      </c>
      <c r="B198" s="1">
        <v>22.0</v>
      </c>
      <c r="C198" s="1" t="s">
        <v>16</v>
      </c>
      <c r="D198" s="1" t="s">
        <v>35</v>
      </c>
      <c r="E198" s="1" t="s">
        <v>18</v>
      </c>
      <c r="F198" s="1">
        <v>10.95</v>
      </c>
      <c r="G198" s="1">
        <v>2.64</v>
      </c>
      <c r="H198" s="1">
        <v>8.31</v>
      </c>
      <c r="I198" s="1">
        <v>6.17</v>
      </c>
      <c r="J198" s="1">
        <v>1.0</v>
      </c>
      <c r="K198" s="1">
        <v>10.0</v>
      </c>
      <c r="L198" s="1">
        <v>48.3</v>
      </c>
      <c r="M198" s="1">
        <v>62.0</v>
      </c>
      <c r="N198" s="1">
        <v>5.8</v>
      </c>
      <c r="O198" s="1">
        <v>7.6</v>
      </c>
    </row>
    <row r="199">
      <c r="A199" s="1" t="s">
        <v>266</v>
      </c>
      <c r="B199" s="1">
        <v>31.0</v>
      </c>
      <c r="C199" s="1" t="s">
        <v>30</v>
      </c>
      <c r="D199" s="1" t="s">
        <v>35</v>
      </c>
      <c r="E199" s="1" t="s">
        <v>18</v>
      </c>
      <c r="F199" s="1">
        <v>8.08</v>
      </c>
      <c r="G199" s="1">
        <v>3.75</v>
      </c>
      <c r="H199" s="1">
        <v>4.33</v>
      </c>
      <c r="I199" s="1">
        <v>5.1</v>
      </c>
      <c r="J199" s="1">
        <v>1.0</v>
      </c>
      <c r="K199" s="1">
        <v>7.0</v>
      </c>
      <c r="L199" s="1">
        <v>62.7</v>
      </c>
      <c r="M199" s="1">
        <v>132.0</v>
      </c>
      <c r="N199" s="1">
        <v>5.6</v>
      </c>
      <c r="O199" s="1">
        <v>30.6</v>
      </c>
    </row>
    <row r="200">
      <c r="A200" s="1" t="s">
        <v>267</v>
      </c>
      <c r="B200" s="1">
        <v>30.0</v>
      </c>
      <c r="C200" s="1" t="s">
        <v>30</v>
      </c>
      <c r="D200" s="1" t="s">
        <v>17</v>
      </c>
      <c r="E200" s="1" t="s">
        <v>27</v>
      </c>
      <c r="F200" s="1">
        <v>11.65</v>
      </c>
      <c r="G200" s="1">
        <v>0.58</v>
      </c>
      <c r="H200" s="1">
        <v>11.07</v>
      </c>
      <c r="I200" s="1">
        <v>5.47</v>
      </c>
      <c r="J200" s="1">
        <v>1.0</v>
      </c>
      <c r="K200" s="1">
        <v>10.0</v>
      </c>
      <c r="L200" s="1">
        <v>46.4</v>
      </c>
      <c r="M200" s="1">
        <v>129.0</v>
      </c>
      <c r="N200" s="1">
        <v>0.0</v>
      </c>
      <c r="O200" s="1">
        <v>0.8</v>
      </c>
    </row>
    <row r="201">
      <c r="A201" s="1" t="s">
        <v>268</v>
      </c>
      <c r="B201" s="1">
        <v>20.0</v>
      </c>
      <c r="C201" s="1" t="s">
        <v>30</v>
      </c>
      <c r="D201" s="1" t="s">
        <v>17</v>
      </c>
      <c r="E201" s="1" t="s">
        <v>27</v>
      </c>
      <c r="F201" s="1">
        <v>8.93</v>
      </c>
      <c r="G201" s="1">
        <v>1.62</v>
      </c>
      <c r="H201" s="1">
        <v>7.31</v>
      </c>
      <c r="I201" s="1">
        <v>5.89</v>
      </c>
      <c r="J201" s="1">
        <v>1.0</v>
      </c>
      <c r="K201" s="1">
        <v>10.0</v>
      </c>
      <c r="L201" s="1">
        <v>44.7</v>
      </c>
      <c r="M201" s="1">
        <v>189.0</v>
      </c>
      <c r="N201" s="1">
        <v>6.9</v>
      </c>
      <c r="O201" s="1">
        <v>0.0</v>
      </c>
    </row>
    <row r="202">
      <c r="A202" s="1" t="s">
        <v>269</v>
      </c>
      <c r="B202" s="1">
        <v>32.0</v>
      </c>
      <c r="C202" s="1" t="s">
        <v>16</v>
      </c>
      <c r="D202" s="1" t="s">
        <v>32</v>
      </c>
      <c r="E202" s="1" t="s">
        <v>18</v>
      </c>
      <c r="F202" s="1">
        <v>11.79</v>
      </c>
      <c r="G202" s="1">
        <v>7.06</v>
      </c>
      <c r="H202" s="1">
        <v>4.73</v>
      </c>
      <c r="I202" s="1">
        <v>6.76</v>
      </c>
      <c r="J202" s="1">
        <v>1.0</v>
      </c>
      <c r="K202" s="1">
        <v>10.0</v>
      </c>
      <c r="L202" s="1">
        <v>31.8</v>
      </c>
      <c r="M202" s="1">
        <v>0.0</v>
      </c>
      <c r="N202" s="1">
        <v>12.2</v>
      </c>
      <c r="O202" s="1">
        <v>0.0</v>
      </c>
    </row>
    <row r="203">
      <c r="A203" s="1" t="s">
        <v>270</v>
      </c>
      <c r="B203" s="1">
        <v>34.0</v>
      </c>
      <c r="C203" s="1" t="s">
        <v>30</v>
      </c>
      <c r="D203" s="1" t="s">
        <v>17</v>
      </c>
      <c r="E203" s="1" t="s">
        <v>27</v>
      </c>
      <c r="F203" s="1">
        <v>6.09</v>
      </c>
      <c r="G203" s="1">
        <v>0.59</v>
      </c>
      <c r="H203" s="1">
        <v>5.5</v>
      </c>
      <c r="I203" s="1">
        <v>7.27</v>
      </c>
      <c r="J203" s="1">
        <v>2.0</v>
      </c>
      <c r="K203" s="1">
        <v>8.5</v>
      </c>
      <c r="L203" s="1">
        <v>66.7</v>
      </c>
      <c r="M203" s="1">
        <v>84.0</v>
      </c>
      <c r="N203" s="1">
        <v>11.9</v>
      </c>
      <c r="O203" s="1">
        <v>27.5</v>
      </c>
    </row>
    <row r="204">
      <c r="A204" s="1" t="s">
        <v>271</v>
      </c>
      <c r="B204" s="1">
        <v>38.0</v>
      </c>
      <c r="C204" s="1" t="s">
        <v>16</v>
      </c>
      <c r="D204" s="1" t="s">
        <v>17</v>
      </c>
      <c r="E204" s="1" t="s">
        <v>23</v>
      </c>
      <c r="F204" s="1">
        <v>8.64</v>
      </c>
      <c r="G204" s="1">
        <v>1.15</v>
      </c>
      <c r="H204" s="1">
        <v>7.49</v>
      </c>
      <c r="I204" s="1">
        <v>6.11</v>
      </c>
      <c r="J204" s="1">
        <v>1.0</v>
      </c>
      <c r="K204" s="1">
        <v>6.6</v>
      </c>
      <c r="L204" s="1">
        <v>57.0</v>
      </c>
      <c r="M204" s="1">
        <v>140.0</v>
      </c>
      <c r="N204" s="1">
        <v>12.8</v>
      </c>
      <c r="O204" s="1">
        <v>29.4</v>
      </c>
    </row>
    <row r="205">
      <c r="A205" s="1" t="s">
        <v>272</v>
      </c>
      <c r="B205" s="1">
        <v>38.0</v>
      </c>
      <c r="C205" s="1" t="s">
        <v>16</v>
      </c>
      <c r="D205" s="1" t="s">
        <v>17</v>
      </c>
      <c r="E205" s="1" t="s">
        <v>27</v>
      </c>
      <c r="F205" s="1">
        <v>7.71</v>
      </c>
      <c r="G205" s="1">
        <v>0.87</v>
      </c>
      <c r="H205" s="1">
        <v>6.84</v>
      </c>
      <c r="I205" s="1">
        <v>7.1</v>
      </c>
      <c r="J205" s="1">
        <v>1.0</v>
      </c>
      <c r="K205" s="1">
        <v>6.4</v>
      </c>
      <c r="L205" s="1">
        <v>52.5</v>
      </c>
      <c r="M205" s="1">
        <v>170.0</v>
      </c>
      <c r="N205" s="1">
        <v>7.4</v>
      </c>
      <c r="O205" s="1">
        <v>24.6</v>
      </c>
    </row>
    <row r="206">
      <c r="A206" s="1" t="s">
        <v>273</v>
      </c>
      <c r="B206" s="1">
        <v>18.0</v>
      </c>
      <c r="C206" s="1" t="s">
        <v>16</v>
      </c>
      <c r="D206" s="1" t="s">
        <v>17</v>
      </c>
      <c r="E206" s="1" t="s">
        <v>27</v>
      </c>
      <c r="F206" s="1">
        <v>10.68</v>
      </c>
      <c r="G206" s="1">
        <v>0.88</v>
      </c>
      <c r="H206" s="1">
        <v>9.8</v>
      </c>
      <c r="I206" s="1">
        <v>7.08</v>
      </c>
      <c r="J206" s="1">
        <v>1.0</v>
      </c>
      <c r="K206" s="1">
        <v>10.0</v>
      </c>
      <c r="L206" s="1">
        <v>50.1</v>
      </c>
      <c r="M206" s="1">
        <v>241.0</v>
      </c>
      <c r="N206" s="1">
        <v>3.1</v>
      </c>
      <c r="O206" s="1">
        <v>6.2</v>
      </c>
    </row>
    <row r="207">
      <c r="A207" s="1" t="s">
        <v>274</v>
      </c>
      <c r="B207" s="1">
        <v>22.0</v>
      </c>
      <c r="C207" s="1" t="s">
        <v>30</v>
      </c>
      <c r="D207" s="1" t="s">
        <v>17</v>
      </c>
      <c r="E207" s="1" t="s">
        <v>27</v>
      </c>
      <c r="F207" s="1">
        <v>8.73</v>
      </c>
      <c r="G207" s="1">
        <v>0.65</v>
      </c>
      <c r="H207" s="1">
        <v>8.08</v>
      </c>
      <c r="I207" s="1">
        <v>7.43</v>
      </c>
      <c r="J207" s="1">
        <v>1.0</v>
      </c>
      <c r="K207" s="1">
        <v>9.4</v>
      </c>
      <c r="L207" s="1">
        <v>59.9</v>
      </c>
      <c r="M207" s="1">
        <v>169.0</v>
      </c>
      <c r="N207" s="1">
        <v>13.1</v>
      </c>
      <c r="O207" s="1">
        <v>26.0</v>
      </c>
    </row>
    <row r="208">
      <c r="A208" s="1" t="s">
        <v>275</v>
      </c>
      <c r="B208" s="1">
        <v>34.0</v>
      </c>
      <c r="C208" s="1" t="s">
        <v>30</v>
      </c>
      <c r="D208" s="1" t="s">
        <v>32</v>
      </c>
      <c r="E208" s="1" t="s">
        <v>27</v>
      </c>
      <c r="F208" s="1">
        <v>7.3</v>
      </c>
      <c r="G208" s="1">
        <v>0.72</v>
      </c>
      <c r="H208" s="1">
        <v>6.58</v>
      </c>
      <c r="I208" s="1">
        <v>5.83</v>
      </c>
      <c r="J208" s="1">
        <v>1.0</v>
      </c>
      <c r="K208" s="1">
        <v>9.8</v>
      </c>
      <c r="L208" s="1">
        <v>47.6</v>
      </c>
      <c r="M208" s="1">
        <v>112.0</v>
      </c>
      <c r="N208" s="1">
        <v>6.4</v>
      </c>
      <c r="O208" s="1">
        <v>0.0</v>
      </c>
    </row>
    <row r="209">
      <c r="A209" s="1" t="s">
        <v>276</v>
      </c>
      <c r="B209" s="1">
        <v>34.0</v>
      </c>
      <c r="C209" s="1" t="s">
        <v>30</v>
      </c>
      <c r="D209" s="1" t="s">
        <v>32</v>
      </c>
      <c r="E209" s="1" t="s">
        <v>18</v>
      </c>
      <c r="F209" s="1">
        <v>10.89</v>
      </c>
      <c r="G209" s="1">
        <v>7.48</v>
      </c>
      <c r="H209" s="1">
        <v>3.41</v>
      </c>
      <c r="I209" s="1">
        <v>6.7</v>
      </c>
      <c r="J209" s="1">
        <v>1.0</v>
      </c>
      <c r="K209" s="1">
        <v>10.0</v>
      </c>
      <c r="L209" s="1">
        <v>54.6</v>
      </c>
      <c r="M209" s="1">
        <v>32.0</v>
      </c>
      <c r="N209" s="1">
        <v>9.5</v>
      </c>
      <c r="O209" s="1">
        <v>9.8</v>
      </c>
    </row>
    <row r="210">
      <c r="A210" s="1" t="s">
        <v>277</v>
      </c>
      <c r="B210" s="1">
        <v>34.0</v>
      </c>
      <c r="C210" s="1" t="s">
        <v>16</v>
      </c>
      <c r="D210" s="1" t="s">
        <v>17</v>
      </c>
      <c r="E210" s="1" t="s">
        <v>27</v>
      </c>
      <c r="F210" s="1">
        <v>11.14</v>
      </c>
      <c r="G210" s="1">
        <v>1.56</v>
      </c>
      <c r="H210" s="1">
        <v>9.58</v>
      </c>
      <c r="I210" s="1">
        <v>5.66</v>
      </c>
      <c r="J210" s="1">
        <v>1.0</v>
      </c>
      <c r="K210" s="1">
        <v>9.6</v>
      </c>
      <c r="L210" s="1">
        <v>43.4</v>
      </c>
      <c r="M210" s="1">
        <v>54.0</v>
      </c>
      <c r="N210" s="1">
        <v>10.4</v>
      </c>
      <c r="O210" s="1">
        <v>0.0</v>
      </c>
    </row>
    <row r="211">
      <c r="A211" s="1" t="s">
        <v>278</v>
      </c>
      <c r="B211" s="1">
        <v>60.0</v>
      </c>
      <c r="C211" s="1" t="s">
        <v>30</v>
      </c>
      <c r="D211" s="1" t="s">
        <v>32</v>
      </c>
      <c r="E211" s="1" t="s">
        <v>18</v>
      </c>
      <c r="F211" s="1">
        <v>12.56</v>
      </c>
      <c r="G211" s="1">
        <v>2.93</v>
      </c>
      <c r="H211" s="1">
        <v>9.63</v>
      </c>
      <c r="I211" s="1">
        <v>7.54</v>
      </c>
      <c r="J211" s="1">
        <v>1.0</v>
      </c>
      <c r="K211" s="1">
        <v>10.0</v>
      </c>
      <c r="L211" s="1">
        <v>36.9</v>
      </c>
      <c r="M211" s="1">
        <v>56.0</v>
      </c>
      <c r="N211" s="1">
        <v>15.9</v>
      </c>
      <c r="O211" s="1">
        <v>0.0</v>
      </c>
    </row>
    <row r="212">
      <c r="A212" s="1" t="s">
        <v>279</v>
      </c>
      <c r="B212" s="1">
        <v>34.0</v>
      </c>
      <c r="C212" s="1" t="s">
        <v>16</v>
      </c>
      <c r="D212" s="1" t="s">
        <v>35</v>
      </c>
      <c r="E212" s="1" t="s">
        <v>18</v>
      </c>
      <c r="F212" s="1">
        <v>11.96</v>
      </c>
      <c r="G212" s="1">
        <v>6.74</v>
      </c>
      <c r="H212" s="1">
        <v>5.22</v>
      </c>
      <c r="I212" s="1">
        <v>7.27</v>
      </c>
      <c r="J212" s="1">
        <v>1.0</v>
      </c>
      <c r="K212" s="1">
        <v>9.3</v>
      </c>
      <c r="L212" s="1">
        <v>39.1</v>
      </c>
      <c r="M212" s="1">
        <v>134.0</v>
      </c>
      <c r="N212" s="1">
        <v>10.2</v>
      </c>
      <c r="O212" s="1">
        <v>3.3</v>
      </c>
    </row>
    <row r="213">
      <c r="A213" s="1" t="s">
        <v>280</v>
      </c>
      <c r="B213" s="1">
        <v>39.0</v>
      </c>
      <c r="C213" s="1" t="s">
        <v>30</v>
      </c>
      <c r="D213" s="1" t="s">
        <v>17</v>
      </c>
      <c r="E213" s="1" t="s">
        <v>27</v>
      </c>
      <c r="F213" s="1">
        <v>11.15</v>
      </c>
      <c r="G213" s="1">
        <v>0.56</v>
      </c>
      <c r="H213" s="1">
        <v>10.59</v>
      </c>
      <c r="I213" s="1">
        <v>6.1</v>
      </c>
      <c r="J213" s="1">
        <v>1.0</v>
      </c>
      <c r="K213" s="1">
        <v>9.2</v>
      </c>
      <c r="L213" s="1">
        <v>54.3</v>
      </c>
      <c r="M213" s="1">
        <v>114.0</v>
      </c>
      <c r="N213" s="1">
        <v>0.1</v>
      </c>
      <c r="O213" s="1">
        <v>6.5</v>
      </c>
    </row>
    <row r="214">
      <c r="A214" s="1" t="s">
        <v>281</v>
      </c>
      <c r="B214" s="1">
        <v>37.0</v>
      </c>
      <c r="C214" s="1" t="s">
        <v>16</v>
      </c>
      <c r="D214" s="1" t="s">
        <v>17</v>
      </c>
      <c r="E214" s="1" t="s">
        <v>18</v>
      </c>
      <c r="F214" s="1">
        <v>5.28</v>
      </c>
      <c r="G214" s="1">
        <v>3.59</v>
      </c>
      <c r="H214" s="1">
        <v>1.69</v>
      </c>
      <c r="I214" s="1">
        <v>7.07</v>
      </c>
      <c r="J214" s="1">
        <v>2.0</v>
      </c>
      <c r="K214" s="1">
        <v>6.5</v>
      </c>
      <c r="L214" s="1">
        <v>65.4</v>
      </c>
      <c r="M214" s="1">
        <v>37.0</v>
      </c>
      <c r="N214" s="1">
        <v>4.5</v>
      </c>
      <c r="O214" s="1">
        <v>38.8</v>
      </c>
    </row>
    <row r="215">
      <c r="A215" s="1" t="s">
        <v>282</v>
      </c>
      <c r="B215" s="1">
        <v>35.0</v>
      </c>
      <c r="C215" s="1" t="s">
        <v>16</v>
      </c>
      <c r="D215" s="1" t="s">
        <v>17</v>
      </c>
      <c r="E215" s="1" t="s">
        <v>27</v>
      </c>
      <c r="F215" s="1">
        <v>7.32</v>
      </c>
      <c r="G215" s="1">
        <v>1.08</v>
      </c>
      <c r="H215" s="1">
        <v>6.24</v>
      </c>
      <c r="I215" s="1">
        <v>6.98</v>
      </c>
      <c r="J215" s="1">
        <v>1.0</v>
      </c>
      <c r="K215" s="1">
        <v>9.2</v>
      </c>
      <c r="L215" s="1">
        <v>54.6</v>
      </c>
      <c r="M215" s="1">
        <v>86.0</v>
      </c>
      <c r="N215" s="1">
        <v>13.3</v>
      </c>
      <c r="O215" s="1">
        <v>19.1</v>
      </c>
    </row>
    <row r="216">
      <c r="A216" s="1" t="s">
        <v>283</v>
      </c>
      <c r="B216" s="1">
        <v>27.0</v>
      </c>
      <c r="C216" s="1" t="s">
        <v>16</v>
      </c>
      <c r="D216" s="1" t="s">
        <v>35</v>
      </c>
      <c r="E216" s="1" t="s">
        <v>27</v>
      </c>
      <c r="F216" s="1">
        <v>9.39</v>
      </c>
      <c r="G216" s="1">
        <v>0.47</v>
      </c>
      <c r="H216" s="1">
        <v>8.92</v>
      </c>
      <c r="I216" s="1">
        <v>5.16</v>
      </c>
      <c r="J216" s="1">
        <v>1.0</v>
      </c>
      <c r="K216" s="1">
        <v>10.0</v>
      </c>
      <c r="L216" s="1">
        <v>40.6</v>
      </c>
      <c r="M216" s="1">
        <v>162.0</v>
      </c>
      <c r="N216" s="1">
        <v>9.0</v>
      </c>
      <c r="O216" s="1">
        <v>5.9</v>
      </c>
    </row>
    <row r="217">
      <c r="A217" s="1" t="s">
        <v>284</v>
      </c>
      <c r="B217" s="1">
        <v>36.0</v>
      </c>
      <c r="C217" s="1" t="s">
        <v>16</v>
      </c>
      <c r="D217" s="1" t="s">
        <v>17</v>
      </c>
      <c r="E217" s="1" t="s">
        <v>18</v>
      </c>
      <c r="F217" s="1">
        <v>11.12</v>
      </c>
      <c r="G217" s="1">
        <v>4.7</v>
      </c>
      <c r="H217" s="1">
        <v>6.42</v>
      </c>
      <c r="I217" s="1">
        <v>7.06</v>
      </c>
      <c r="J217" s="1">
        <v>1.0</v>
      </c>
      <c r="K217" s="1">
        <v>8.3</v>
      </c>
      <c r="L217" s="1">
        <v>45.4</v>
      </c>
      <c r="M217" s="1">
        <v>119.0</v>
      </c>
      <c r="N217" s="1">
        <v>4.3</v>
      </c>
      <c r="O217" s="1">
        <v>13.0</v>
      </c>
    </row>
    <row r="218">
      <c r="A218" s="1" t="s">
        <v>285</v>
      </c>
      <c r="B218" s="1">
        <v>23.0</v>
      </c>
      <c r="C218" s="1" t="s">
        <v>30</v>
      </c>
      <c r="D218" s="1" t="s">
        <v>17</v>
      </c>
      <c r="E218" s="1" t="s">
        <v>27</v>
      </c>
      <c r="F218" s="1">
        <v>3.49</v>
      </c>
      <c r="G218" s="1">
        <v>0.52</v>
      </c>
      <c r="H218" s="1">
        <v>2.97</v>
      </c>
      <c r="I218" s="1">
        <v>7.59</v>
      </c>
      <c r="J218" s="1">
        <v>3.0</v>
      </c>
      <c r="K218" s="1">
        <v>1.9</v>
      </c>
      <c r="L218" s="1">
        <v>100.0</v>
      </c>
      <c r="M218" s="1">
        <v>173.0</v>
      </c>
      <c r="N218" s="1">
        <v>12.4</v>
      </c>
      <c r="O218" s="1">
        <v>77.7</v>
      </c>
    </row>
    <row r="219">
      <c r="A219" s="1" t="s">
        <v>286</v>
      </c>
      <c r="B219" s="1">
        <v>28.0</v>
      </c>
      <c r="C219" s="1" t="s">
        <v>16</v>
      </c>
      <c r="D219" s="1" t="s">
        <v>17</v>
      </c>
      <c r="E219" s="1" t="s">
        <v>27</v>
      </c>
      <c r="F219" s="1">
        <v>15.38</v>
      </c>
      <c r="G219" s="1">
        <v>2.09</v>
      </c>
      <c r="H219" s="1">
        <v>13.29</v>
      </c>
      <c r="I219" s="1">
        <v>6.85</v>
      </c>
      <c r="J219" s="1">
        <v>1.0</v>
      </c>
      <c r="K219" s="1">
        <v>10.0</v>
      </c>
      <c r="L219" s="1">
        <v>32.6</v>
      </c>
      <c r="M219" s="1">
        <v>92.0</v>
      </c>
      <c r="N219" s="1">
        <v>4.0</v>
      </c>
      <c r="O219" s="1">
        <v>1.2</v>
      </c>
    </row>
    <row r="220">
      <c r="A220" s="1" t="s">
        <v>287</v>
      </c>
      <c r="B220" s="1">
        <v>26.0</v>
      </c>
      <c r="C220" s="1" t="s">
        <v>16</v>
      </c>
      <c r="D220" s="1" t="s">
        <v>17</v>
      </c>
      <c r="E220" s="1" t="s">
        <v>23</v>
      </c>
      <c r="F220" s="1">
        <v>11.64</v>
      </c>
      <c r="G220" s="1">
        <v>0.68</v>
      </c>
      <c r="H220" s="1">
        <v>10.96</v>
      </c>
      <c r="I220" s="1">
        <v>5.74</v>
      </c>
      <c r="J220" s="1">
        <v>1.0</v>
      </c>
      <c r="K220" s="1">
        <v>10.0</v>
      </c>
      <c r="L220" s="1">
        <v>38.1</v>
      </c>
      <c r="M220" s="1">
        <v>200.0</v>
      </c>
      <c r="N220" s="1">
        <v>7.4</v>
      </c>
      <c r="O220" s="1">
        <v>15.9</v>
      </c>
    </row>
    <row r="221">
      <c r="A221" s="1" t="s">
        <v>288</v>
      </c>
      <c r="B221" s="1">
        <v>30.0</v>
      </c>
      <c r="C221" s="1" t="s">
        <v>30</v>
      </c>
      <c r="D221" s="1" t="s">
        <v>35</v>
      </c>
      <c r="E221" s="1" t="s">
        <v>27</v>
      </c>
      <c r="F221" s="1">
        <v>9.13</v>
      </c>
      <c r="G221" s="1">
        <v>0.98</v>
      </c>
      <c r="H221" s="1">
        <v>8.15</v>
      </c>
      <c r="I221" s="1">
        <v>6.54</v>
      </c>
      <c r="J221" s="1">
        <v>1.0</v>
      </c>
      <c r="K221" s="1">
        <v>8.4</v>
      </c>
      <c r="L221" s="1">
        <v>57.5</v>
      </c>
      <c r="M221" s="1">
        <v>120.0</v>
      </c>
      <c r="N221" s="1">
        <v>12.1</v>
      </c>
      <c r="O221" s="1">
        <v>14.5</v>
      </c>
    </row>
    <row r="222">
      <c r="A222" s="1" t="s">
        <v>289</v>
      </c>
      <c r="B222" s="1">
        <v>48.0</v>
      </c>
      <c r="C222" s="1" t="s">
        <v>16</v>
      </c>
      <c r="D222" s="1" t="s">
        <v>17</v>
      </c>
      <c r="E222" s="1" t="s">
        <v>23</v>
      </c>
      <c r="F222" s="1">
        <v>7.48</v>
      </c>
      <c r="G222" s="1">
        <v>0.48</v>
      </c>
      <c r="H222" s="1">
        <v>7.0</v>
      </c>
      <c r="I222" s="1">
        <v>6.25</v>
      </c>
      <c r="J222" s="1">
        <v>1.0</v>
      </c>
      <c r="K222" s="1">
        <v>6.4</v>
      </c>
      <c r="L222" s="1">
        <v>70.8</v>
      </c>
      <c r="M222" s="1">
        <v>95.0</v>
      </c>
      <c r="N222" s="1">
        <v>4.1</v>
      </c>
      <c r="O222" s="1">
        <v>29.2</v>
      </c>
    </row>
    <row r="223">
      <c r="A223" s="1" t="s">
        <v>290</v>
      </c>
      <c r="B223" s="1">
        <v>16.0</v>
      </c>
      <c r="C223" s="1" t="s">
        <v>30</v>
      </c>
      <c r="D223" s="1" t="s">
        <v>17</v>
      </c>
      <c r="E223" s="1" t="s">
        <v>27</v>
      </c>
      <c r="F223" s="1">
        <v>10.03</v>
      </c>
      <c r="G223" s="1">
        <v>1.22</v>
      </c>
      <c r="H223" s="1">
        <v>8.81</v>
      </c>
      <c r="I223" s="1">
        <v>5.95</v>
      </c>
      <c r="J223" s="1">
        <v>1.0</v>
      </c>
      <c r="K223" s="1">
        <v>10.0</v>
      </c>
      <c r="L223" s="1">
        <v>46.8</v>
      </c>
      <c r="M223" s="1">
        <v>27.0</v>
      </c>
      <c r="N223" s="1">
        <v>15.1</v>
      </c>
      <c r="O223" s="1">
        <v>0.0</v>
      </c>
    </row>
    <row r="224">
      <c r="A224" s="1" t="s">
        <v>291</v>
      </c>
      <c r="B224" s="1">
        <v>35.0</v>
      </c>
      <c r="C224" s="1" t="s">
        <v>30</v>
      </c>
      <c r="D224" s="1" t="s">
        <v>35</v>
      </c>
      <c r="E224" s="1" t="s">
        <v>18</v>
      </c>
      <c r="F224" s="1">
        <v>5.5</v>
      </c>
      <c r="G224" s="1">
        <v>1.97</v>
      </c>
      <c r="H224" s="1">
        <v>3.53</v>
      </c>
      <c r="I224" s="1">
        <v>6.68</v>
      </c>
      <c r="J224" s="1">
        <v>1.0</v>
      </c>
      <c r="K224" s="1">
        <v>5.4</v>
      </c>
      <c r="L224" s="1">
        <v>64.2</v>
      </c>
      <c r="M224" s="1">
        <v>145.0</v>
      </c>
      <c r="N224" s="1">
        <v>6.3</v>
      </c>
      <c r="O224" s="1">
        <v>32.1</v>
      </c>
    </row>
    <row r="225">
      <c r="A225" s="1" t="s">
        <v>292</v>
      </c>
      <c r="B225" s="1">
        <v>17.0</v>
      </c>
      <c r="C225" s="1" t="s">
        <v>30</v>
      </c>
      <c r="D225" s="1" t="s">
        <v>35</v>
      </c>
      <c r="E225" s="1" t="s">
        <v>27</v>
      </c>
      <c r="F225" s="1">
        <v>9.53</v>
      </c>
      <c r="G225" s="1">
        <v>2.23</v>
      </c>
      <c r="H225" s="1">
        <v>7.3</v>
      </c>
      <c r="I225" s="1">
        <v>7.64</v>
      </c>
      <c r="J225" s="1">
        <v>2.0</v>
      </c>
      <c r="K225" s="1">
        <v>10.0</v>
      </c>
      <c r="L225" s="1">
        <v>46.6</v>
      </c>
      <c r="M225" s="1">
        <v>0.0</v>
      </c>
      <c r="N225" s="1">
        <v>8.4</v>
      </c>
      <c r="O225" s="1">
        <v>0.0</v>
      </c>
    </row>
    <row r="226">
      <c r="A226" s="1" t="s">
        <v>293</v>
      </c>
      <c r="B226" s="1">
        <v>26.0</v>
      </c>
      <c r="C226" s="1" t="s">
        <v>16</v>
      </c>
      <c r="D226" s="1" t="s">
        <v>17</v>
      </c>
      <c r="E226" s="1" t="s">
        <v>23</v>
      </c>
      <c r="F226" s="1">
        <v>8.16</v>
      </c>
      <c r="G226" s="1">
        <v>0.92</v>
      </c>
      <c r="H226" s="1">
        <v>7.24</v>
      </c>
      <c r="I226" s="1">
        <v>6.58</v>
      </c>
      <c r="J226" s="1">
        <v>1.0</v>
      </c>
      <c r="K226" s="1">
        <v>7.4</v>
      </c>
      <c r="L226" s="1">
        <v>56.6</v>
      </c>
      <c r="M226" s="1">
        <v>94.0</v>
      </c>
      <c r="N226" s="1">
        <v>17.3</v>
      </c>
      <c r="O226" s="1">
        <v>23.2</v>
      </c>
    </row>
    <row r="227">
      <c r="A227" s="1" t="s">
        <v>294</v>
      </c>
      <c r="B227" s="1">
        <v>38.0</v>
      </c>
      <c r="C227" s="1" t="s">
        <v>30</v>
      </c>
      <c r="D227" s="1" t="s">
        <v>35</v>
      </c>
      <c r="E227" s="1" t="s">
        <v>27</v>
      </c>
      <c r="F227" s="1">
        <v>9.32</v>
      </c>
      <c r="G227" s="1">
        <v>0.8</v>
      </c>
      <c r="H227" s="1">
        <v>8.52</v>
      </c>
      <c r="I227" s="1">
        <v>7.18</v>
      </c>
      <c r="J227" s="1">
        <v>1.0</v>
      </c>
      <c r="K227" s="1">
        <v>7.4</v>
      </c>
      <c r="L227" s="1">
        <v>56.3</v>
      </c>
      <c r="M227" s="1">
        <v>92.0</v>
      </c>
      <c r="N227" s="1">
        <v>0.0</v>
      </c>
      <c r="O227" s="1">
        <v>15.5</v>
      </c>
    </row>
    <row r="228">
      <c r="A228" s="1" t="s">
        <v>295</v>
      </c>
      <c r="B228" s="1">
        <v>30.0</v>
      </c>
      <c r="C228" s="1" t="s">
        <v>30</v>
      </c>
      <c r="D228" s="1" t="s">
        <v>17</v>
      </c>
      <c r="E228" s="1" t="s">
        <v>23</v>
      </c>
      <c r="F228" s="1">
        <v>7.42</v>
      </c>
      <c r="G228" s="1">
        <v>1.06</v>
      </c>
      <c r="H228" s="1">
        <v>6.36</v>
      </c>
      <c r="I228" s="1">
        <v>6.98</v>
      </c>
      <c r="J228" s="1">
        <v>2.0</v>
      </c>
      <c r="K228" s="1">
        <v>3.5</v>
      </c>
      <c r="L228" s="1">
        <v>72.9</v>
      </c>
      <c r="M228" s="1">
        <v>18.0</v>
      </c>
      <c r="N228" s="1">
        <v>9.0</v>
      </c>
      <c r="O228" s="1">
        <v>43.2</v>
      </c>
    </row>
    <row r="229">
      <c r="A229" s="1" t="s">
        <v>296</v>
      </c>
      <c r="B229" s="1">
        <v>21.0</v>
      </c>
      <c r="C229" s="1" t="s">
        <v>16</v>
      </c>
      <c r="D229" s="1" t="s">
        <v>17</v>
      </c>
      <c r="E229" s="1" t="s">
        <v>23</v>
      </c>
      <c r="F229" s="1">
        <v>8.06</v>
      </c>
      <c r="G229" s="1">
        <v>1.85</v>
      </c>
      <c r="H229" s="1">
        <v>6.21</v>
      </c>
      <c r="I229" s="1">
        <v>6.09</v>
      </c>
      <c r="J229" s="1">
        <v>1.0</v>
      </c>
      <c r="K229" s="1">
        <v>8.4</v>
      </c>
      <c r="L229" s="1">
        <v>56.6</v>
      </c>
      <c r="M229" s="1">
        <v>40.0</v>
      </c>
      <c r="N229" s="1">
        <v>12.6</v>
      </c>
      <c r="O229" s="1">
        <v>18.9</v>
      </c>
    </row>
    <row r="230">
      <c r="A230" s="1" t="s">
        <v>297</v>
      </c>
      <c r="B230" s="1">
        <v>24.0</v>
      </c>
      <c r="C230" s="1" t="s">
        <v>16</v>
      </c>
      <c r="D230" s="1" t="s">
        <v>17</v>
      </c>
      <c r="E230" s="1" t="s">
        <v>18</v>
      </c>
      <c r="F230" s="1">
        <v>9.51</v>
      </c>
      <c r="G230" s="1">
        <v>2.33</v>
      </c>
      <c r="H230" s="1">
        <v>7.18</v>
      </c>
      <c r="I230" s="1">
        <v>6.78</v>
      </c>
      <c r="J230" s="1">
        <v>1.0</v>
      </c>
      <c r="K230" s="1">
        <v>8.8</v>
      </c>
      <c r="L230" s="1">
        <v>49.0</v>
      </c>
      <c r="M230" s="1">
        <v>155.0</v>
      </c>
      <c r="N230" s="1">
        <v>11.1</v>
      </c>
      <c r="O230" s="1">
        <v>5.7</v>
      </c>
    </row>
    <row r="231">
      <c r="A231" s="1" t="s">
        <v>298</v>
      </c>
      <c r="B231" s="1">
        <v>35.0</v>
      </c>
      <c r="C231" s="1" t="s">
        <v>30</v>
      </c>
      <c r="D231" s="1" t="s">
        <v>17</v>
      </c>
      <c r="E231" s="1" t="s">
        <v>18</v>
      </c>
      <c r="F231" s="1">
        <v>11.85</v>
      </c>
      <c r="G231" s="1">
        <v>6.4</v>
      </c>
      <c r="H231" s="1">
        <v>5.45</v>
      </c>
      <c r="I231" s="1">
        <v>7.15</v>
      </c>
      <c r="J231" s="1">
        <v>1.0</v>
      </c>
      <c r="K231" s="1">
        <v>9.3</v>
      </c>
      <c r="L231" s="1">
        <v>32.7</v>
      </c>
      <c r="M231" s="1">
        <v>106.0</v>
      </c>
      <c r="N231" s="1">
        <v>4.7</v>
      </c>
      <c r="O231" s="1">
        <v>0.0</v>
      </c>
    </row>
    <row r="232">
      <c r="A232" s="1" t="s">
        <v>299</v>
      </c>
      <c r="B232" s="1">
        <v>24.0</v>
      </c>
      <c r="C232" s="1" t="s">
        <v>30</v>
      </c>
      <c r="D232" s="1" t="s">
        <v>32</v>
      </c>
      <c r="E232" s="1" t="s">
        <v>27</v>
      </c>
      <c r="F232" s="1">
        <v>10.64</v>
      </c>
      <c r="G232" s="1">
        <v>1.25</v>
      </c>
      <c r="H232" s="1">
        <v>9.39</v>
      </c>
      <c r="I232" s="1">
        <v>5.78</v>
      </c>
      <c r="J232" s="1">
        <v>1.0</v>
      </c>
      <c r="K232" s="1">
        <v>10.0</v>
      </c>
      <c r="L232" s="1">
        <v>36.5</v>
      </c>
      <c r="M232" s="1">
        <v>98.0</v>
      </c>
      <c r="N232" s="1">
        <v>3.1</v>
      </c>
      <c r="O232" s="1">
        <v>8.6</v>
      </c>
    </row>
    <row r="233">
      <c r="A233" s="1" t="s">
        <v>300</v>
      </c>
      <c r="B233" s="1">
        <v>31.0</v>
      </c>
      <c r="C233" s="1" t="s">
        <v>30</v>
      </c>
      <c r="D233" s="1" t="s">
        <v>35</v>
      </c>
      <c r="E233" s="1" t="s">
        <v>27</v>
      </c>
      <c r="F233" s="1">
        <v>7.51</v>
      </c>
      <c r="G233" s="1">
        <v>0.73</v>
      </c>
      <c r="H233" s="1">
        <v>6.78</v>
      </c>
      <c r="I233" s="1">
        <v>7.93</v>
      </c>
      <c r="J233" s="1">
        <v>2.0</v>
      </c>
      <c r="K233" s="1">
        <v>7.8</v>
      </c>
      <c r="L233" s="1">
        <v>58.5</v>
      </c>
      <c r="M233" s="1">
        <v>135.0</v>
      </c>
      <c r="N233" s="1">
        <v>12.2</v>
      </c>
      <c r="O233" s="1">
        <v>20.1</v>
      </c>
    </row>
    <row r="234">
      <c r="A234" s="1" t="s">
        <v>301</v>
      </c>
      <c r="B234" s="1">
        <v>30.0</v>
      </c>
      <c r="C234" s="1" t="s">
        <v>30</v>
      </c>
      <c r="D234" s="1" t="s">
        <v>35</v>
      </c>
      <c r="E234" s="1" t="s">
        <v>23</v>
      </c>
      <c r="F234" s="1">
        <v>6.2</v>
      </c>
      <c r="G234" s="1">
        <v>0.31</v>
      </c>
      <c r="H234" s="1">
        <v>5.89</v>
      </c>
      <c r="I234" s="1">
        <v>6.79</v>
      </c>
      <c r="J234" s="1">
        <v>1.0</v>
      </c>
      <c r="K234" s="1">
        <v>6.9</v>
      </c>
      <c r="L234" s="1">
        <v>60.7</v>
      </c>
      <c r="M234" s="1">
        <v>127.0</v>
      </c>
      <c r="N234" s="1">
        <v>14.2</v>
      </c>
      <c r="O234" s="1">
        <v>16.5</v>
      </c>
    </row>
    <row r="235">
      <c r="A235" s="1" t="s">
        <v>302</v>
      </c>
      <c r="B235" s="1">
        <v>24.0</v>
      </c>
      <c r="C235" s="1" t="s">
        <v>30</v>
      </c>
      <c r="D235" s="1" t="s">
        <v>32</v>
      </c>
      <c r="E235" s="1" t="s">
        <v>23</v>
      </c>
      <c r="F235" s="1">
        <v>7.26</v>
      </c>
      <c r="G235" s="1">
        <v>0.96</v>
      </c>
      <c r="H235" s="1">
        <v>6.3</v>
      </c>
      <c r="I235" s="1">
        <v>6.86</v>
      </c>
      <c r="J235" s="1">
        <v>1.0</v>
      </c>
      <c r="K235" s="1">
        <v>9.9</v>
      </c>
      <c r="L235" s="1">
        <v>58.8</v>
      </c>
      <c r="M235" s="1">
        <v>198.0</v>
      </c>
      <c r="N235" s="1">
        <v>3.1</v>
      </c>
      <c r="O235" s="1">
        <v>13.3</v>
      </c>
    </row>
    <row r="236">
      <c r="A236" s="1" t="s">
        <v>303</v>
      </c>
      <c r="B236" s="1">
        <v>47.0</v>
      </c>
      <c r="C236" s="1" t="s">
        <v>16</v>
      </c>
      <c r="D236" s="1" t="s">
        <v>35</v>
      </c>
      <c r="E236" s="1" t="s">
        <v>18</v>
      </c>
      <c r="F236" s="1">
        <v>10.23</v>
      </c>
      <c r="G236" s="1">
        <v>3.11</v>
      </c>
      <c r="H236" s="1">
        <v>7.12</v>
      </c>
      <c r="I236" s="1">
        <v>7.46</v>
      </c>
      <c r="J236" s="1">
        <v>1.0</v>
      </c>
      <c r="K236" s="1">
        <v>10.0</v>
      </c>
      <c r="L236" s="1">
        <v>44.1</v>
      </c>
      <c r="M236" s="1">
        <v>114.0</v>
      </c>
      <c r="N236" s="1">
        <v>0.7</v>
      </c>
      <c r="O236" s="1">
        <v>10.1</v>
      </c>
    </row>
    <row r="237">
      <c r="A237" s="1" t="s">
        <v>304</v>
      </c>
      <c r="B237" s="1">
        <v>35.0</v>
      </c>
      <c r="C237" s="1" t="s">
        <v>16</v>
      </c>
      <c r="D237" s="1" t="s">
        <v>32</v>
      </c>
      <c r="E237" s="1" t="s">
        <v>18</v>
      </c>
      <c r="F237" s="1">
        <v>10.18</v>
      </c>
      <c r="G237" s="1">
        <v>5.4</v>
      </c>
      <c r="H237" s="1">
        <v>4.78</v>
      </c>
      <c r="I237" s="1">
        <v>6.39</v>
      </c>
      <c r="J237" s="1">
        <v>1.0</v>
      </c>
      <c r="K237" s="1">
        <v>8.9</v>
      </c>
      <c r="L237" s="1">
        <v>42.1</v>
      </c>
      <c r="M237" s="1">
        <v>0.0</v>
      </c>
      <c r="N237" s="1">
        <v>8.1</v>
      </c>
      <c r="O237" s="1">
        <v>0.0</v>
      </c>
    </row>
    <row r="238">
      <c r="A238" s="1" t="s">
        <v>305</v>
      </c>
      <c r="B238" s="1">
        <v>16.0</v>
      </c>
      <c r="C238" s="1" t="s">
        <v>16</v>
      </c>
      <c r="D238" s="1" t="s">
        <v>17</v>
      </c>
      <c r="E238" s="1" t="s">
        <v>23</v>
      </c>
      <c r="F238" s="1">
        <v>8.98</v>
      </c>
      <c r="G238" s="1">
        <v>1.47</v>
      </c>
      <c r="H238" s="1">
        <v>7.51</v>
      </c>
      <c r="I238" s="1">
        <v>6.94</v>
      </c>
      <c r="J238" s="1">
        <v>1.0</v>
      </c>
      <c r="K238" s="1">
        <v>7.6</v>
      </c>
      <c r="L238" s="1">
        <v>55.5</v>
      </c>
      <c r="M238" s="1">
        <v>211.0</v>
      </c>
      <c r="N238" s="1">
        <v>7.3</v>
      </c>
      <c r="O238" s="1">
        <v>24.7</v>
      </c>
    </row>
    <row r="239">
      <c r="A239" s="1" t="s">
        <v>306</v>
      </c>
      <c r="B239" s="1">
        <v>31.0</v>
      </c>
      <c r="C239" s="1" t="s">
        <v>30</v>
      </c>
      <c r="D239" s="1" t="s">
        <v>17</v>
      </c>
      <c r="E239" s="1" t="s">
        <v>27</v>
      </c>
      <c r="F239" s="1">
        <v>10.39</v>
      </c>
      <c r="G239" s="1">
        <v>0.96</v>
      </c>
      <c r="H239" s="1">
        <v>9.43</v>
      </c>
      <c r="I239" s="1">
        <v>6.6</v>
      </c>
      <c r="J239" s="1">
        <v>2.0</v>
      </c>
      <c r="K239" s="1">
        <v>10.0</v>
      </c>
      <c r="L239" s="1">
        <v>46.3</v>
      </c>
      <c r="M239" s="1">
        <v>122.0</v>
      </c>
      <c r="N239" s="1">
        <v>6.3</v>
      </c>
      <c r="O239" s="1">
        <v>15.8</v>
      </c>
    </row>
    <row r="240">
      <c r="A240" s="1" t="s">
        <v>307</v>
      </c>
      <c r="B240" s="1">
        <v>24.0</v>
      </c>
      <c r="C240" s="1" t="s">
        <v>16</v>
      </c>
      <c r="D240" s="1" t="s">
        <v>32</v>
      </c>
      <c r="E240" s="1" t="s">
        <v>23</v>
      </c>
      <c r="F240" s="1">
        <v>8.71</v>
      </c>
      <c r="G240" s="1">
        <v>0.48</v>
      </c>
      <c r="H240" s="1">
        <v>8.23</v>
      </c>
      <c r="I240" s="1">
        <v>7.14</v>
      </c>
      <c r="J240" s="1">
        <v>1.0</v>
      </c>
      <c r="K240" s="1">
        <v>9.6</v>
      </c>
      <c r="L240" s="1">
        <v>48.5</v>
      </c>
      <c r="M240" s="1">
        <v>61.0</v>
      </c>
      <c r="N240" s="1">
        <v>10.9</v>
      </c>
      <c r="O240" s="1">
        <v>0.0</v>
      </c>
    </row>
    <row r="241">
      <c r="A241" s="1" t="s">
        <v>308</v>
      </c>
      <c r="B241" s="1">
        <v>36.0</v>
      </c>
      <c r="C241" s="1" t="s">
        <v>30</v>
      </c>
      <c r="D241" s="1" t="s">
        <v>35</v>
      </c>
      <c r="E241" s="1" t="s">
        <v>27</v>
      </c>
      <c r="F241" s="1">
        <v>9.04</v>
      </c>
      <c r="G241" s="1">
        <v>0.45</v>
      </c>
      <c r="H241" s="1">
        <v>8.59</v>
      </c>
      <c r="I241" s="1">
        <v>5.2</v>
      </c>
      <c r="J241" s="1">
        <v>1.0</v>
      </c>
      <c r="K241" s="1">
        <v>9.5</v>
      </c>
      <c r="L241" s="1">
        <v>49.9</v>
      </c>
      <c r="M241" s="1">
        <v>19.0</v>
      </c>
      <c r="N241" s="1">
        <v>7.3</v>
      </c>
      <c r="O241" s="1">
        <v>10.5</v>
      </c>
    </row>
    <row r="242">
      <c r="A242" s="1" t="s">
        <v>309</v>
      </c>
      <c r="B242" s="1">
        <v>23.0</v>
      </c>
      <c r="C242" s="1" t="s">
        <v>30</v>
      </c>
      <c r="D242" s="1" t="s">
        <v>35</v>
      </c>
      <c r="E242" s="1" t="s">
        <v>27</v>
      </c>
      <c r="F242" s="1">
        <v>7.05</v>
      </c>
      <c r="G242" s="1">
        <v>1.19</v>
      </c>
      <c r="H242" s="1">
        <v>5.86</v>
      </c>
      <c r="I242" s="1">
        <v>5.81</v>
      </c>
      <c r="J242" s="1">
        <v>1.0</v>
      </c>
      <c r="K242" s="1">
        <v>6.4</v>
      </c>
      <c r="L242" s="1">
        <v>69.1</v>
      </c>
      <c r="M242" s="1">
        <v>140.0</v>
      </c>
      <c r="N242" s="1">
        <v>0.0</v>
      </c>
      <c r="O242" s="1">
        <v>37.1</v>
      </c>
    </row>
    <row r="243">
      <c r="A243" s="1" t="s">
        <v>310</v>
      </c>
      <c r="B243" s="1">
        <v>29.0</v>
      </c>
      <c r="C243" s="1" t="s">
        <v>30</v>
      </c>
      <c r="D243" s="1" t="s">
        <v>17</v>
      </c>
      <c r="E243" s="1" t="s">
        <v>18</v>
      </c>
      <c r="F243" s="1">
        <v>7.76</v>
      </c>
      <c r="G243" s="1">
        <v>2.5</v>
      </c>
      <c r="H243" s="1">
        <v>5.26</v>
      </c>
      <c r="I243" s="1">
        <v>7.72</v>
      </c>
      <c r="J243" s="1">
        <v>2.0</v>
      </c>
      <c r="K243" s="1">
        <v>7.9</v>
      </c>
      <c r="L243" s="1">
        <v>60.6</v>
      </c>
      <c r="M243" s="1">
        <v>103.0</v>
      </c>
      <c r="N243" s="1">
        <v>2.4</v>
      </c>
      <c r="O243" s="1">
        <v>26.2</v>
      </c>
    </row>
    <row r="244">
      <c r="A244" s="1" t="s">
        <v>311</v>
      </c>
      <c r="B244" s="1">
        <v>34.0</v>
      </c>
      <c r="C244" s="1" t="s">
        <v>16</v>
      </c>
      <c r="D244" s="1" t="s">
        <v>32</v>
      </c>
      <c r="E244" s="1" t="s">
        <v>27</v>
      </c>
      <c r="F244" s="1">
        <v>6.86</v>
      </c>
      <c r="G244" s="1">
        <v>0.72</v>
      </c>
      <c r="H244" s="1">
        <v>6.14</v>
      </c>
      <c r="I244" s="1">
        <v>8.24</v>
      </c>
      <c r="J244" s="1">
        <v>2.0</v>
      </c>
      <c r="K244" s="1">
        <v>5.2</v>
      </c>
      <c r="L244" s="1">
        <v>82.7</v>
      </c>
      <c r="M244" s="1">
        <v>229.0</v>
      </c>
      <c r="N244" s="1">
        <v>10.0</v>
      </c>
      <c r="O244" s="1">
        <v>61.1</v>
      </c>
    </row>
    <row r="245">
      <c r="A245" s="1" t="s">
        <v>312</v>
      </c>
      <c r="B245" s="1">
        <v>36.0</v>
      </c>
      <c r="C245" s="1" t="s">
        <v>30</v>
      </c>
      <c r="D245" s="1" t="s">
        <v>17</v>
      </c>
      <c r="E245" s="1" t="s">
        <v>27</v>
      </c>
      <c r="F245" s="1">
        <v>10.39</v>
      </c>
      <c r="G245" s="1">
        <v>0.57</v>
      </c>
      <c r="H245" s="1">
        <v>9.82</v>
      </c>
      <c r="I245" s="1">
        <v>6.17</v>
      </c>
      <c r="J245" s="1">
        <v>1.0</v>
      </c>
      <c r="K245" s="1">
        <v>10.0</v>
      </c>
      <c r="L245" s="1">
        <v>47.9</v>
      </c>
      <c r="M245" s="1">
        <v>74.0</v>
      </c>
      <c r="N245" s="1">
        <v>6.4</v>
      </c>
      <c r="O245" s="1">
        <v>10.6</v>
      </c>
    </row>
    <row r="246">
      <c r="A246" s="1" t="s">
        <v>313</v>
      </c>
      <c r="B246" s="1">
        <v>20.0</v>
      </c>
      <c r="C246" s="1" t="s">
        <v>16</v>
      </c>
      <c r="D246" s="1" t="s">
        <v>17</v>
      </c>
      <c r="E246" s="1" t="s">
        <v>27</v>
      </c>
      <c r="F246" s="1">
        <v>10.13</v>
      </c>
      <c r="G246" s="1">
        <v>0.51</v>
      </c>
      <c r="H246" s="1">
        <v>9.62</v>
      </c>
      <c r="I246" s="1">
        <v>6.59</v>
      </c>
      <c r="J246" s="1">
        <v>1.0</v>
      </c>
      <c r="K246" s="1">
        <v>10.0</v>
      </c>
      <c r="L246" s="1">
        <v>38.6</v>
      </c>
      <c r="M246" s="1">
        <v>34.0</v>
      </c>
      <c r="N246" s="1">
        <v>0.0</v>
      </c>
      <c r="O246" s="1">
        <v>0.0</v>
      </c>
    </row>
    <row r="247">
      <c r="A247" s="1" t="s">
        <v>314</v>
      </c>
      <c r="B247" s="1">
        <v>27.0</v>
      </c>
      <c r="C247" s="1" t="s">
        <v>30</v>
      </c>
      <c r="D247" s="1" t="s">
        <v>37</v>
      </c>
      <c r="E247" s="1" t="s">
        <v>18</v>
      </c>
      <c r="F247" s="1">
        <v>8.8</v>
      </c>
      <c r="G247" s="1">
        <v>6.69</v>
      </c>
      <c r="H247" s="1">
        <v>2.11</v>
      </c>
      <c r="I247" s="1">
        <v>7.29</v>
      </c>
      <c r="J247" s="1">
        <v>2.0</v>
      </c>
      <c r="K247" s="1">
        <v>6.8</v>
      </c>
      <c r="L247" s="1">
        <v>76.9</v>
      </c>
      <c r="M247" s="1">
        <v>166.0</v>
      </c>
      <c r="N247" s="1">
        <v>0.0</v>
      </c>
      <c r="O247" s="1">
        <v>39.0</v>
      </c>
    </row>
    <row r="248">
      <c r="A248" s="1" t="s">
        <v>315</v>
      </c>
      <c r="B248" s="1">
        <v>26.0</v>
      </c>
      <c r="C248" s="1" t="s">
        <v>16</v>
      </c>
      <c r="D248" s="1" t="s">
        <v>17</v>
      </c>
      <c r="E248" s="1" t="s">
        <v>23</v>
      </c>
      <c r="F248" s="1">
        <v>8.45</v>
      </c>
      <c r="G248" s="1">
        <v>1.83</v>
      </c>
      <c r="H248" s="1">
        <v>6.62</v>
      </c>
      <c r="I248" s="1">
        <v>7.65</v>
      </c>
      <c r="J248" s="1">
        <v>2.0</v>
      </c>
      <c r="K248" s="1">
        <v>5.2</v>
      </c>
      <c r="L248" s="1">
        <v>72.5</v>
      </c>
      <c r="M248" s="1">
        <v>170.0</v>
      </c>
      <c r="N248" s="1">
        <v>8.3</v>
      </c>
      <c r="O248" s="1">
        <v>42.2</v>
      </c>
    </row>
    <row r="249">
      <c r="A249" s="1" t="s">
        <v>316</v>
      </c>
      <c r="B249" s="1">
        <v>24.0</v>
      </c>
      <c r="C249" s="1" t="s">
        <v>16</v>
      </c>
      <c r="D249" s="1" t="s">
        <v>17</v>
      </c>
      <c r="E249" s="1" t="s">
        <v>23</v>
      </c>
      <c r="F249" s="1">
        <v>10.13</v>
      </c>
      <c r="G249" s="1">
        <v>2.55</v>
      </c>
      <c r="H249" s="1">
        <v>7.58</v>
      </c>
      <c r="I249" s="1">
        <v>5.2</v>
      </c>
      <c r="J249" s="1">
        <v>1.0</v>
      </c>
      <c r="K249" s="1">
        <v>8.5</v>
      </c>
      <c r="L249" s="1">
        <v>43.8</v>
      </c>
      <c r="M249" s="1">
        <v>106.0</v>
      </c>
      <c r="N249" s="1">
        <v>14.5</v>
      </c>
      <c r="O249" s="1">
        <v>10.2</v>
      </c>
    </row>
    <row r="250">
      <c r="A250" s="1" t="s">
        <v>317</v>
      </c>
      <c r="B250" s="1">
        <v>44.0</v>
      </c>
      <c r="C250" s="1" t="s">
        <v>30</v>
      </c>
      <c r="D250" s="1" t="s">
        <v>17</v>
      </c>
      <c r="E250" s="1" t="s">
        <v>18</v>
      </c>
      <c r="F250" s="1">
        <v>9.61</v>
      </c>
      <c r="G250" s="1">
        <v>5.75</v>
      </c>
      <c r="H250" s="1">
        <v>3.86</v>
      </c>
      <c r="I250" s="1">
        <v>6.39</v>
      </c>
      <c r="J250" s="1">
        <v>2.0</v>
      </c>
      <c r="K250" s="1">
        <v>10.0</v>
      </c>
      <c r="L250" s="1">
        <v>59.5</v>
      </c>
      <c r="M250" s="1">
        <v>155.0</v>
      </c>
      <c r="N250" s="1">
        <v>8.7</v>
      </c>
      <c r="O250" s="1">
        <v>21.8</v>
      </c>
    </row>
    <row r="251">
      <c r="A251" s="1" t="s">
        <v>318</v>
      </c>
      <c r="B251" s="1">
        <v>33.0</v>
      </c>
      <c r="C251" s="1" t="s">
        <v>16</v>
      </c>
      <c r="D251" s="1" t="s">
        <v>17</v>
      </c>
      <c r="E251" s="1" t="s">
        <v>18</v>
      </c>
      <c r="F251" s="1">
        <v>12.69</v>
      </c>
      <c r="G251" s="1">
        <v>5.84</v>
      </c>
      <c r="H251" s="1">
        <v>6.85</v>
      </c>
      <c r="I251" s="1">
        <v>6.26</v>
      </c>
      <c r="J251" s="1">
        <v>1.0</v>
      </c>
      <c r="K251" s="1">
        <v>10.0</v>
      </c>
      <c r="L251" s="1">
        <v>51.4</v>
      </c>
      <c r="M251" s="1">
        <v>81.0</v>
      </c>
      <c r="N251" s="1">
        <v>11.1</v>
      </c>
      <c r="O251" s="1">
        <v>3.4</v>
      </c>
    </row>
    <row r="252">
      <c r="A252" s="1" t="s">
        <v>319</v>
      </c>
      <c r="B252" s="1">
        <v>19.0</v>
      </c>
      <c r="C252" s="1" t="s">
        <v>16</v>
      </c>
      <c r="D252" s="1" t="s">
        <v>17</v>
      </c>
      <c r="E252" s="1" t="s">
        <v>18</v>
      </c>
      <c r="F252" s="1">
        <v>11.19</v>
      </c>
      <c r="G252" s="1">
        <v>4.91</v>
      </c>
      <c r="H252" s="1">
        <v>6.28</v>
      </c>
      <c r="I252" s="1">
        <v>7.17</v>
      </c>
      <c r="J252" s="1">
        <v>1.0</v>
      </c>
      <c r="K252" s="1">
        <v>10.0</v>
      </c>
      <c r="L252" s="1">
        <v>41.0</v>
      </c>
      <c r="M252" s="1">
        <v>102.0</v>
      </c>
      <c r="N252" s="1">
        <v>6.0</v>
      </c>
      <c r="O252" s="1">
        <v>0.0</v>
      </c>
    </row>
    <row r="253">
      <c r="A253" s="1" t="s">
        <v>320</v>
      </c>
      <c r="B253" s="1">
        <v>37.0</v>
      </c>
      <c r="C253" s="1" t="s">
        <v>30</v>
      </c>
      <c r="D253" s="1" t="s">
        <v>32</v>
      </c>
      <c r="E253" s="1" t="s">
        <v>27</v>
      </c>
      <c r="F253" s="1">
        <v>4.87</v>
      </c>
      <c r="G253" s="1">
        <v>0.41</v>
      </c>
      <c r="H253" s="1">
        <v>4.46</v>
      </c>
      <c r="I253" s="1">
        <v>9.74</v>
      </c>
      <c r="J253" s="1">
        <v>3.0</v>
      </c>
      <c r="K253" s="1">
        <v>2.7</v>
      </c>
      <c r="L253" s="1">
        <v>88.9</v>
      </c>
      <c r="M253" s="1">
        <v>214.0</v>
      </c>
      <c r="N253" s="1">
        <v>2.5</v>
      </c>
      <c r="O253" s="1">
        <v>83.8</v>
      </c>
    </row>
    <row r="254">
      <c r="A254" s="1" t="s">
        <v>321</v>
      </c>
      <c r="B254" s="1">
        <v>46.0</v>
      </c>
      <c r="C254" s="1" t="s">
        <v>30</v>
      </c>
      <c r="D254" s="1" t="s">
        <v>17</v>
      </c>
      <c r="E254" s="1" t="s">
        <v>27</v>
      </c>
      <c r="F254" s="1">
        <v>13.66</v>
      </c>
      <c r="G254" s="1">
        <v>0.79</v>
      </c>
      <c r="H254" s="1">
        <v>12.87</v>
      </c>
      <c r="I254" s="1">
        <v>6.33</v>
      </c>
      <c r="J254" s="1">
        <v>1.0</v>
      </c>
      <c r="K254" s="1">
        <v>10.0</v>
      </c>
      <c r="L254" s="1">
        <v>36.5</v>
      </c>
      <c r="M254" s="1">
        <v>128.0</v>
      </c>
      <c r="N254" s="1">
        <v>7.2</v>
      </c>
      <c r="O254" s="1">
        <v>1.7</v>
      </c>
    </row>
    <row r="255">
      <c r="A255" s="1" t="s">
        <v>322</v>
      </c>
      <c r="B255" s="1">
        <v>38.0</v>
      </c>
      <c r="C255" s="1" t="s">
        <v>30</v>
      </c>
      <c r="D255" s="1" t="s">
        <v>17</v>
      </c>
      <c r="E255" s="1" t="s">
        <v>27</v>
      </c>
      <c r="F255" s="1">
        <v>9.8</v>
      </c>
      <c r="G255" s="1">
        <v>0.65</v>
      </c>
      <c r="H255" s="1">
        <v>9.15</v>
      </c>
      <c r="I255" s="1">
        <v>5.88</v>
      </c>
      <c r="J255" s="1">
        <v>1.0</v>
      </c>
      <c r="K255" s="1">
        <v>8.6</v>
      </c>
      <c r="L255" s="1">
        <v>53.2</v>
      </c>
      <c r="M255" s="1">
        <v>91.0</v>
      </c>
      <c r="N255" s="1">
        <v>9.9</v>
      </c>
      <c r="O255" s="1">
        <v>11.0</v>
      </c>
    </row>
    <row r="256">
      <c r="A256" s="1" t="s">
        <v>323</v>
      </c>
      <c r="B256" s="1">
        <v>17.0</v>
      </c>
      <c r="C256" s="1" t="s">
        <v>30</v>
      </c>
      <c r="D256" s="1" t="s">
        <v>43</v>
      </c>
      <c r="E256" s="1" t="s">
        <v>18</v>
      </c>
      <c r="F256" s="1">
        <v>6.42</v>
      </c>
      <c r="G256" s="1">
        <v>4.43</v>
      </c>
      <c r="H256" s="1">
        <v>1.99</v>
      </c>
      <c r="I256" s="1">
        <v>7.63</v>
      </c>
      <c r="J256" s="1">
        <v>1.0</v>
      </c>
      <c r="K256" s="1">
        <v>7.6</v>
      </c>
      <c r="L256" s="1">
        <v>65.6</v>
      </c>
      <c r="M256" s="1">
        <v>208.0</v>
      </c>
      <c r="N256" s="1">
        <v>8.4</v>
      </c>
      <c r="O256" s="1">
        <v>31.3</v>
      </c>
    </row>
    <row r="257">
      <c r="A257" s="1" t="s">
        <v>324</v>
      </c>
      <c r="B257" s="1">
        <v>26.0</v>
      </c>
      <c r="C257" s="1" t="s">
        <v>30</v>
      </c>
      <c r="D257" s="1" t="s">
        <v>17</v>
      </c>
      <c r="E257" s="1" t="s">
        <v>27</v>
      </c>
      <c r="F257" s="1">
        <v>9.26</v>
      </c>
      <c r="G257" s="1">
        <v>0.46</v>
      </c>
      <c r="H257" s="1">
        <v>8.8</v>
      </c>
      <c r="I257" s="1">
        <v>8.03</v>
      </c>
      <c r="J257" s="1">
        <v>2.0</v>
      </c>
      <c r="K257" s="1">
        <v>7.1</v>
      </c>
      <c r="L257" s="1">
        <v>65.1</v>
      </c>
      <c r="M257" s="1">
        <v>0.0</v>
      </c>
      <c r="N257" s="1">
        <v>0.0</v>
      </c>
      <c r="O257" s="1">
        <v>40.4</v>
      </c>
    </row>
    <row r="258">
      <c r="A258" s="1" t="s">
        <v>325</v>
      </c>
      <c r="B258" s="1">
        <v>40.0</v>
      </c>
      <c r="C258" s="1" t="s">
        <v>16</v>
      </c>
      <c r="D258" s="1" t="s">
        <v>17</v>
      </c>
      <c r="E258" s="1" t="s">
        <v>27</v>
      </c>
      <c r="F258" s="1">
        <v>9.66</v>
      </c>
      <c r="G258" s="1">
        <v>1.16</v>
      </c>
      <c r="H258" s="1">
        <v>8.5</v>
      </c>
      <c r="I258" s="1">
        <v>7.14</v>
      </c>
      <c r="J258" s="1">
        <v>1.0</v>
      </c>
      <c r="K258" s="1">
        <v>8.4</v>
      </c>
      <c r="L258" s="1">
        <v>50.5</v>
      </c>
      <c r="M258" s="1">
        <v>249.0</v>
      </c>
      <c r="N258" s="1">
        <v>5.1</v>
      </c>
      <c r="O258" s="1">
        <v>0.4</v>
      </c>
    </row>
    <row r="259">
      <c r="A259" s="1" t="s">
        <v>326</v>
      </c>
      <c r="B259" s="1">
        <v>24.0</v>
      </c>
      <c r="C259" s="1" t="s">
        <v>16</v>
      </c>
      <c r="D259" s="1" t="s">
        <v>43</v>
      </c>
      <c r="E259" s="1" t="s">
        <v>27</v>
      </c>
      <c r="F259" s="1">
        <v>2.44</v>
      </c>
      <c r="G259" s="1">
        <v>0.12</v>
      </c>
      <c r="H259" s="1">
        <v>2.32</v>
      </c>
      <c r="I259" s="1">
        <v>7.25</v>
      </c>
      <c r="J259" s="1">
        <v>3.0</v>
      </c>
      <c r="K259" s="1">
        <v>0.6</v>
      </c>
      <c r="L259" s="1">
        <v>100.0</v>
      </c>
      <c r="M259" s="1">
        <v>21.0</v>
      </c>
      <c r="N259" s="1">
        <v>6.4</v>
      </c>
      <c r="O259" s="1">
        <v>88.9</v>
      </c>
    </row>
    <row r="260">
      <c r="A260" s="1" t="s">
        <v>327</v>
      </c>
      <c r="B260" s="1">
        <v>33.0</v>
      </c>
      <c r="C260" s="1" t="s">
        <v>16</v>
      </c>
      <c r="D260" s="1" t="s">
        <v>32</v>
      </c>
      <c r="E260" s="1" t="s">
        <v>23</v>
      </c>
      <c r="F260" s="1">
        <v>8.87</v>
      </c>
      <c r="G260" s="1">
        <v>1.0</v>
      </c>
      <c r="H260" s="1">
        <v>7.87</v>
      </c>
      <c r="I260" s="1">
        <v>7.87</v>
      </c>
      <c r="J260" s="1">
        <v>1.0</v>
      </c>
      <c r="K260" s="1">
        <v>8.5</v>
      </c>
      <c r="L260" s="1">
        <v>48.8</v>
      </c>
      <c r="M260" s="1">
        <v>62.0</v>
      </c>
      <c r="N260" s="1">
        <v>10.6</v>
      </c>
      <c r="O260" s="1">
        <v>2.8</v>
      </c>
    </row>
    <row r="261">
      <c r="A261" s="1" t="s">
        <v>328</v>
      </c>
      <c r="B261" s="1">
        <v>36.0</v>
      </c>
      <c r="C261" s="1" t="s">
        <v>30</v>
      </c>
      <c r="D261" s="1" t="s">
        <v>43</v>
      </c>
      <c r="E261" s="1" t="s">
        <v>18</v>
      </c>
      <c r="F261" s="1">
        <v>8.89</v>
      </c>
      <c r="G261" s="1">
        <v>2.93</v>
      </c>
      <c r="H261" s="1">
        <v>5.96</v>
      </c>
      <c r="I261" s="1">
        <v>7.66</v>
      </c>
      <c r="J261" s="1">
        <v>2.0</v>
      </c>
      <c r="K261" s="1">
        <v>7.8</v>
      </c>
      <c r="L261" s="1">
        <v>65.7</v>
      </c>
      <c r="M261" s="1">
        <v>105.0</v>
      </c>
      <c r="N261" s="1">
        <v>13.3</v>
      </c>
      <c r="O261" s="1">
        <v>33.6</v>
      </c>
    </row>
    <row r="262">
      <c r="A262" s="1" t="s">
        <v>329</v>
      </c>
      <c r="B262" s="1">
        <v>22.0</v>
      </c>
      <c r="C262" s="1" t="s">
        <v>30</v>
      </c>
      <c r="D262" s="1" t="s">
        <v>17</v>
      </c>
      <c r="E262" s="1" t="s">
        <v>27</v>
      </c>
      <c r="F262" s="1">
        <v>7.83</v>
      </c>
      <c r="G262" s="1">
        <v>1.79</v>
      </c>
      <c r="H262" s="1">
        <v>6.04</v>
      </c>
      <c r="I262" s="1">
        <v>6.32</v>
      </c>
      <c r="J262" s="1">
        <v>2.0</v>
      </c>
      <c r="K262" s="1">
        <v>7.4</v>
      </c>
      <c r="L262" s="1">
        <v>60.9</v>
      </c>
      <c r="M262" s="1">
        <v>97.0</v>
      </c>
      <c r="N262" s="1">
        <v>5.9</v>
      </c>
      <c r="O262" s="1">
        <v>31.3</v>
      </c>
    </row>
    <row r="263">
      <c r="A263" s="1" t="s">
        <v>330</v>
      </c>
      <c r="B263" s="1">
        <v>29.0</v>
      </c>
      <c r="C263" s="1" t="s">
        <v>16</v>
      </c>
      <c r="D263" s="1" t="s">
        <v>32</v>
      </c>
      <c r="E263" s="1" t="s">
        <v>18</v>
      </c>
      <c r="F263" s="1">
        <v>14.18</v>
      </c>
      <c r="G263" s="1">
        <v>2.4</v>
      </c>
      <c r="H263" s="1">
        <v>11.78</v>
      </c>
      <c r="I263" s="1">
        <v>6.57</v>
      </c>
      <c r="J263" s="1">
        <v>1.0</v>
      </c>
      <c r="K263" s="1">
        <v>7.8</v>
      </c>
      <c r="L263" s="1">
        <v>48.1</v>
      </c>
      <c r="M263" s="1">
        <v>143.0</v>
      </c>
      <c r="N263" s="1">
        <v>5.3</v>
      </c>
      <c r="O263" s="1">
        <v>20.4</v>
      </c>
    </row>
    <row r="264">
      <c r="A264" s="1" t="s">
        <v>331</v>
      </c>
      <c r="B264" s="1">
        <v>16.0</v>
      </c>
      <c r="C264" s="1" t="s">
        <v>16</v>
      </c>
      <c r="D264" s="1" t="s">
        <v>17</v>
      </c>
      <c r="E264" s="1" t="s">
        <v>27</v>
      </c>
      <c r="F264" s="1">
        <v>7.64</v>
      </c>
      <c r="G264" s="1">
        <v>0.55</v>
      </c>
      <c r="H264" s="1">
        <v>7.09</v>
      </c>
      <c r="I264" s="1">
        <v>7.91</v>
      </c>
      <c r="J264" s="1">
        <v>1.0</v>
      </c>
      <c r="K264" s="1">
        <v>6.9</v>
      </c>
      <c r="L264" s="1">
        <v>58.3</v>
      </c>
      <c r="M264" s="1">
        <v>31.0</v>
      </c>
      <c r="N264" s="1">
        <v>11.0</v>
      </c>
      <c r="O264" s="1">
        <v>19.3</v>
      </c>
    </row>
    <row r="265">
      <c r="A265" s="1" t="s">
        <v>332</v>
      </c>
      <c r="B265" s="1">
        <v>21.0</v>
      </c>
      <c r="C265" s="1" t="s">
        <v>30</v>
      </c>
      <c r="D265" s="1" t="s">
        <v>17</v>
      </c>
      <c r="E265" s="1" t="s">
        <v>23</v>
      </c>
      <c r="F265" s="1">
        <v>8.86</v>
      </c>
      <c r="G265" s="1">
        <v>0.68</v>
      </c>
      <c r="H265" s="1">
        <v>8.18</v>
      </c>
      <c r="I265" s="1">
        <v>7.93</v>
      </c>
      <c r="J265" s="1">
        <v>1.0</v>
      </c>
      <c r="K265" s="1">
        <v>8.5</v>
      </c>
      <c r="L265" s="1">
        <v>50.4</v>
      </c>
      <c r="M265" s="1">
        <v>119.0</v>
      </c>
      <c r="N265" s="1">
        <v>12.1</v>
      </c>
      <c r="O265" s="1">
        <v>2.1</v>
      </c>
    </row>
    <row r="266">
      <c r="A266" s="1" t="s">
        <v>333</v>
      </c>
      <c r="B266" s="1">
        <v>27.0</v>
      </c>
      <c r="C266" s="1" t="s">
        <v>16</v>
      </c>
      <c r="D266" s="1" t="s">
        <v>32</v>
      </c>
      <c r="E266" s="1" t="s">
        <v>27</v>
      </c>
      <c r="F266" s="1">
        <v>8.08</v>
      </c>
      <c r="G266" s="1">
        <v>1.42</v>
      </c>
      <c r="H266" s="1">
        <v>6.66</v>
      </c>
      <c r="I266" s="1">
        <v>7.1</v>
      </c>
      <c r="J266" s="1">
        <v>1.0</v>
      </c>
      <c r="K266" s="1">
        <v>10.0</v>
      </c>
      <c r="L266" s="1">
        <v>43.6</v>
      </c>
      <c r="M266" s="1">
        <v>68.0</v>
      </c>
      <c r="N266" s="1">
        <v>8.3</v>
      </c>
      <c r="O266" s="1">
        <v>0.0</v>
      </c>
    </row>
    <row r="267">
      <c r="A267" s="1" t="s">
        <v>334</v>
      </c>
      <c r="B267" s="1">
        <v>20.0</v>
      </c>
      <c r="C267" s="1" t="s">
        <v>30</v>
      </c>
      <c r="D267" s="1" t="s">
        <v>17</v>
      </c>
      <c r="E267" s="1" t="s">
        <v>23</v>
      </c>
      <c r="F267" s="1">
        <v>7.95</v>
      </c>
      <c r="G267" s="1">
        <v>0.88</v>
      </c>
      <c r="H267" s="1">
        <v>7.07</v>
      </c>
      <c r="I267" s="1">
        <v>6.82</v>
      </c>
      <c r="J267" s="1">
        <v>1.0</v>
      </c>
      <c r="K267" s="1">
        <v>6.7</v>
      </c>
      <c r="L267" s="1">
        <v>67.3</v>
      </c>
      <c r="M267" s="1">
        <v>126.0</v>
      </c>
      <c r="N267" s="1">
        <v>10.8</v>
      </c>
      <c r="O267" s="1">
        <v>31.8</v>
      </c>
    </row>
    <row r="268">
      <c r="A268" s="1" t="s">
        <v>335</v>
      </c>
      <c r="B268" s="1">
        <v>43.0</v>
      </c>
      <c r="C268" s="1" t="s">
        <v>16</v>
      </c>
      <c r="D268" s="1" t="s">
        <v>17</v>
      </c>
      <c r="E268" s="1" t="s">
        <v>18</v>
      </c>
      <c r="F268" s="1">
        <v>9.23</v>
      </c>
      <c r="G268" s="1">
        <v>6.1</v>
      </c>
      <c r="H268" s="1">
        <v>3.13</v>
      </c>
      <c r="I268" s="1">
        <v>8.13</v>
      </c>
      <c r="J268" s="1">
        <v>2.0</v>
      </c>
      <c r="K268" s="1">
        <v>8.4</v>
      </c>
      <c r="L268" s="1">
        <v>52.2</v>
      </c>
      <c r="M268" s="1">
        <v>105.0</v>
      </c>
      <c r="N268" s="1">
        <v>8.6</v>
      </c>
      <c r="O268" s="1">
        <v>28.3</v>
      </c>
    </row>
    <row r="269">
      <c r="A269" s="1" t="s">
        <v>336</v>
      </c>
      <c r="B269" s="1">
        <v>18.0</v>
      </c>
      <c r="C269" s="1" t="s">
        <v>30</v>
      </c>
      <c r="D269" s="1" t="s">
        <v>17</v>
      </c>
      <c r="E269" s="1" t="s">
        <v>18</v>
      </c>
      <c r="F269" s="1">
        <v>9.2</v>
      </c>
      <c r="G269" s="1">
        <v>2.55</v>
      </c>
      <c r="H269" s="1">
        <v>6.65</v>
      </c>
      <c r="I269" s="1">
        <v>5.93</v>
      </c>
      <c r="J269" s="1">
        <v>1.0</v>
      </c>
      <c r="K269" s="1">
        <v>10.0</v>
      </c>
      <c r="L269" s="1">
        <v>39.8</v>
      </c>
      <c r="M269" s="1">
        <v>103.0</v>
      </c>
      <c r="N269" s="1">
        <v>8.5</v>
      </c>
      <c r="O269" s="1">
        <v>0.0</v>
      </c>
    </row>
    <row r="270">
      <c r="A270" s="1" t="s">
        <v>337</v>
      </c>
      <c r="B270" s="1">
        <v>26.0</v>
      </c>
      <c r="C270" s="1" t="s">
        <v>16</v>
      </c>
      <c r="D270" s="1" t="s">
        <v>32</v>
      </c>
      <c r="E270" s="1" t="s">
        <v>27</v>
      </c>
      <c r="F270" s="1">
        <v>11.55</v>
      </c>
      <c r="G270" s="1">
        <v>0.58</v>
      </c>
      <c r="H270" s="1">
        <v>10.97</v>
      </c>
      <c r="I270" s="1">
        <v>6.98</v>
      </c>
      <c r="J270" s="1">
        <v>1.0</v>
      </c>
      <c r="K270" s="1">
        <v>9.3</v>
      </c>
      <c r="L270" s="1">
        <v>56.2</v>
      </c>
      <c r="M270" s="1">
        <v>48.0</v>
      </c>
      <c r="N270" s="1">
        <v>7.2</v>
      </c>
      <c r="O270" s="1">
        <v>16.1</v>
      </c>
    </row>
    <row r="271">
      <c r="A271" s="1" t="s">
        <v>338</v>
      </c>
      <c r="B271" s="1">
        <v>31.0</v>
      </c>
      <c r="C271" s="1" t="s">
        <v>30</v>
      </c>
      <c r="D271" s="1" t="s">
        <v>35</v>
      </c>
      <c r="E271" s="1" t="s">
        <v>27</v>
      </c>
      <c r="F271" s="1">
        <v>6.15</v>
      </c>
      <c r="G271" s="1">
        <v>0.37</v>
      </c>
      <c r="H271" s="1">
        <v>5.78</v>
      </c>
      <c r="I271" s="1">
        <v>6.39</v>
      </c>
      <c r="J271" s="1">
        <v>1.0</v>
      </c>
      <c r="K271" s="1">
        <v>7.5</v>
      </c>
      <c r="L271" s="1">
        <v>64.6</v>
      </c>
      <c r="M271" s="1">
        <v>86.0</v>
      </c>
      <c r="N271" s="1">
        <v>9.3</v>
      </c>
      <c r="O271" s="1">
        <v>19.4</v>
      </c>
    </row>
    <row r="272">
      <c r="A272" s="1" t="s">
        <v>339</v>
      </c>
      <c r="B272" s="1">
        <v>41.0</v>
      </c>
      <c r="C272" s="1" t="s">
        <v>30</v>
      </c>
      <c r="D272" s="1" t="s">
        <v>37</v>
      </c>
      <c r="E272" s="1" t="s">
        <v>18</v>
      </c>
      <c r="F272" s="1">
        <v>9.01</v>
      </c>
      <c r="G272" s="1">
        <v>2.73</v>
      </c>
      <c r="H272" s="1">
        <v>6.28</v>
      </c>
      <c r="I272" s="1">
        <v>8.01</v>
      </c>
      <c r="J272" s="1">
        <v>2.0</v>
      </c>
      <c r="K272" s="1">
        <v>6.8</v>
      </c>
      <c r="L272" s="1">
        <v>49.0</v>
      </c>
      <c r="M272" s="1">
        <v>130.0</v>
      </c>
      <c r="N272" s="1">
        <v>10.1</v>
      </c>
      <c r="O272" s="1">
        <v>31.8</v>
      </c>
    </row>
    <row r="273">
      <c r="A273" s="1" t="s">
        <v>340</v>
      </c>
      <c r="B273" s="1">
        <v>18.0</v>
      </c>
      <c r="C273" s="1" t="s">
        <v>30</v>
      </c>
      <c r="D273" s="1" t="s">
        <v>43</v>
      </c>
      <c r="E273" s="1" t="s">
        <v>18</v>
      </c>
      <c r="F273" s="1">
        <v>5.87</v>
      </c>
      <c r="G273" s="1">
        <v>3.68</v>
      </c>
      <c r="H273" s="1">
        <v>2.19</v>
      </c>
      <c r="I273" s="1">
        <v>7.19</v>
      </c>
      <c r="J273" s="1">
        <v>1.0</v>
      </c>
      <c r="K273" s="1">
        <v>5.9</v>
      </c>
      <c r="L273" s="1">
        <v>62.2</v>
      </c>
      <c r="M273" s="1">
        <v>183.0</v>
      </c>
      <c r="N273" s="1">
        <v>15.2</v>
      </c>
      <c r="O273" s="1">
        <v>29.6</v>
      </c>
    </row>
    <row r="274">
      <c r="A274" s="1" t="s">
        <v>341</v>
      </c>
      <c r="B274" s="1">
        <v>39.0</v>
      </c>
      <c r="C274" s="1" t="s">
        <v>30</v>
      </c>
      <c r="D274" s="1" t="s">
        <v>17</v>
      </c>
      <c r="E274" s="1" t="s">
        <v>18</v>
      </c>
      <c r="F274" s="1">
        <v>10.13</v>
      </c>
      <c r="G274" s="1">
        <v>5.13</v>
      </c>
      <c r="H274" s="1">
        <v>5.0</v>
      </c>
      <c r="I274" s="1">
        <v>7.99</v>
      </c>
      <c r="J274" s="1">
        <v>2.0</v>
      </c>
      <c r="K274" s="1">
        <v>7.7</v>
      </c>
      <c r="L274" s="1">
        <v>47.1</v>
      </c>
      <c r="M274" s="1">
        <v>60.0</v>
      </c>
      <c r="N274" s="1">
        <v>10.4</v>
      </c>
      <c r="O274" s="1">
        <v>23.7</v>
      </c>
    </row>
    <row r="275">
      <c r="A275" s="1" t="s">
        <v>342</v>
      </c>
      <c r="B275" s="1">
        <v>30.0</v>
      </c>
      <c r="C275" s="1" t="s">
        <v>30</v>
      </c>
      <c r="D275" s="1" t="s">
        <v>32</v>
      </c>
      <c r="E275" s="1" t="s">
        <v>23</v>
      </c>
      <c r="F275" s="1">
        <v>10.57</v>
      </c>
      <c r="G275" s="1">
        <v>0.53</v>
      </c>
      <c r="H275" s="1">
        <v>10.04</v>
      </c>
      <c r="I275" s="1">
        <v>7.21</v>
      </c>
      <c r="J275" s="1">
        <v>3.0</v>
      </c>
      <c r="K275" s="1">
        <v>7.0</v>
      </c>
      <c r="L275" s="1">
        <v>60.4</v>
      </c>
      <c r="M275" s="1">
        <v>34.0</v>
      </c>
      <c r="N275" s="1">
        <v>0.7</v>
      </c>
      <c r="O275" s="1">
        <v>44.1</v>
      </c>
    </row>
    <row r="276">
      <c r="A276" s="1" t="s">
        <v>343</v>
      </c>
      <c r="B276" s="1">
        <v>22.0</v>
      </c>
      <c r="C276" s="1" t="s">
        <v>30</v>
      </c>
      <c r="D276" s="1" t="s">
        <v>17</v>
      </c>
      <c r="E276" s="1" t="s">
        <v>18</v>
      </c>
      <c r="F276" s="1">
        <v>12.39</v>
      </c>
      <c r="G276" s="1">
        <v>5.27</v>
      </c>
      <c r="H276" s="1">
        <v>7.12</v>
      </c>
      <c r="I276" s="1">
        <v>5.48</v>
      </c>
      <c r="J276" s="1">
        <v>1.0</v>
      </c>
      <c r="K276" s="1">
        <v>10.0</v>
      </c>
      <c r="L276" s="1">
        <v>20.6</v>
      </c>
      <c r="M276" s="1">
        <v>123.0</v>
      </c>
      <c r="N276" s="1">
        <v>7.7</v>
      </c>
      <c r="O276" s="1">
        <v>0.0</v>
      </c>
    </row>
    <row r="277">
      <c r="A277" s="1" t="s">
        <v>344</v>
      </c>
      <c r="B277" s="1">
        <v>33.0</v>
      </c>
      <c r="C277" s="1" t="s">
        <v>16</v>
      </c>
      <c r="D277" s="1" t="s">
        <v>32</v>
      </c>
      <c r="E277" s="1" t="s">
        <v>18</v>
      </c>
      <c r="F277" s="1">
        <v>19.17</v>
      </c>
      <c r="G277" s="1">
        <v>12.04</v>
      </c>
      <c r="H277" s="1">
        <v>7.13</v>
      </c>
      <c r="I277" s="1">
        <v>6.69</v>
      </c>
      <c r="J277" s="1">
        <v>1.0</v>
      </c>
      <c r="K277" s="1">
        <v>10.0</v>
      </c>
      <c r="L277" s="1">
        <v>28.4</v>
      </c>
      <c r="M277" s="1">
        <v>42.0</v>
      </c>
      <c r="N277" s="1">
        <v>0.0</v>
      </c>
      <c r="O277" s="1">
        <v>0.0</v>
      </c>
    </row>
    <row r="278">
      <c r="A278" s="1" t="s">
        <v>345</v>
      </c>
      <c r="B278" s="1">
        <v>31.0</v>
      </c>
      <c r="C278" s="1" t="s">
        <v>30</v>
      </c>
      <c r="D278" s="1" t="s">
        <v>32</v>
      </c>
      <c r="E278" s="1" t="s">
        <v>18</v>
      </c>
      <c r="F278" s="1">
        <v>9.94</v>
      </c>
      <c r="G278" s="1">
        <v>1.11</v>
      </c>
      <c r="H278" s="1">
        <v>8.83</v>
      </c>
      <c r="I278" s="1">
        <v>8.16</v>
      </c>
      <c r="J278" s="1">
        <v>2.0</v>
      </c>
      <c r="K278" s="1">
        <v>10.0</v>
      </c>
      <c r="L278" s="1">
        <v>42.2</v>
      </c>
      <c r="M278" s="1">
        <v>157.0</v>
      </c>
      <c r="N278" s="1">
        <v>0.8</v>
      </c>
      <c r="O278" s="1">
        <v>12.7</v>
      </c>
    </row>
    <row r="279">
      <c r="A279" s="1" t="s">
        <v>346</v>
      </c>
      <c r="B279" s="1">
        <v>25.0</v>
      </c>
      <c r="C279" s="1" t="s">
        <v>30</v>
      </c>
      <c r="D279" s="1" t="s">
        <v>17</v>
      </c>
      <c r="E279" s="1" t="s">
        <v>27</v>
      </c>
      <c r="F279" s="1">
        <v>4.47</v>
      </c>
      <c r="G279" s="1">
        <v>1.04</v>
      </c>
      <c r="H279" s="1">
        <v>3.43</v>
      </c>
      <c r="I279" s="1">
        <v>8.39</v>
      </c>
      <c r="J279" s="1">
        <v>3.0</v>
      </c>
      <c r="K279" s="1">
        <v>3.9</v>
      </c>
      <c r="L279" s="1">
        <v>88.1</v>
      </c>
      <c r="M279" s="1">
        <v>65.0</v>
      </c>
      <c r="N279" s="1">
        <v>9.8</v>
      </c>
      <c r="O279" s="1">
        <v>80.5</v>
      </c>
    </row>
    <row r="280">
      <c r="A280" s="1" t="s">
        <v>347</v>
      </c>
      <c r="B280" s="1">
        <v>30.0</v>
      </c>
      <c r="C280" s="1" t="s">
        <v>16</v>
      </c>
      <c r="D280" s="1" t="s">
        <v>17</v>
      </c>
      <c r="E280" s="1" t="s">
        <v>18</v>
      </c>
      <c r="F280" s="1">
        <v>10.54</v>
      </c>
      <c r="G280" s="1">
        <v>6.2</v>
      </c>
      <c r="H280" s="1">
        <v>4.34</v>
      </c>
      <c r="I280" s="1">
        <v>6.21</v>
      </c>
      <c r="J280" s="1">
        <v>1.0</v>
      </c>
      <c r="K280" s="1">
        <v>8.0</v>
      </c>
      <c r="L280" s="1">
        <v>40.4</v>
      </c>
      <c r="M280" s="1">
        <v>0.0</v>
      </c>
      <c r="N280" s="1">
        <v>6.0</v>
      </c>
      <c r="O280" s="1">
        <v>3.7</v>
      </c>
    </row>
    <row r="281">
      <c r="A281" s="1" t="s">
        <v>348</v>
      </c>
      <c r="B281" s="1">
        <v>26.0</v>
      </c>
      <c r="C281" s="1" t="s">
        <v>30</v>
      </c>
      <c r="D281" s="1" t="s">
        <v>17</v>
      </c>
      <c r="E281" s="1" t="s">
        <v>27</v>
      </c>
      <c r="F281" s="1">
        <v>7.24</v>
      </c>
      <c r="G281" s="1">
        <v>0.67</v>
      </c>
      <c r="H281" s="1">
        <v>6.57</v>
      </c>
      <c r="I281" s="1">
        <v>7.03</v>
      </c>
      <c r="J281" s="1">
        <v>1.0</v>
      </c>
      <c r="K281" s="1">
        <v>8.4</v>
      </c>
      <c r="L281" s="1">
        <v>54.0</v>
      </c>
      <c r="M281" s="1">
        <v>75.0</v>
      </c>
      <c r="N281" s="1">
        <v>2.1</v>
      </c>
      <c r="O281" s="1">
        <v>26.5</v>
      </c>
    </row>
    <row r="282">
      <c r="A282" s="1" t="s">
        <v>349</v>
      </c>
      <c r="B282" s="1">
        <v>30.0</v>
      </c>
      <c r="C282" s="1" t="s">
        <v>30</v>
      </c>
      <c r="D282" s="1" t="s">
        <v>17</v>
      </c>
      <c r="E282" s="1" t="s">
        <v>18</v>
      </c>
      <c r="F282" s="1">
        <v>9.07</v>
      </c>
      <c r="G282" s="1">
        <v>3.61</v>
      </c>
      <c r="H282" s="1">
        <v>5.46</v>
      </c>
      <c r="I282" s="1">
        <v>7.16</v>
      </c>
      <c r="J282" s="1">
        <v>1.0</v>
      </c>
      <c r="K282" s="1">
        <v>10.0</v>
      </c>
      <c r="L282" s="1">
        <v>41.9</v>
      </c>
      <c r="M282" s="1">
        <v>50.0</v>
      </c>
      <c r="N282" s="1">
        <v>5.6</v>
      </c>
      <c r="O282" s="1">
        <v>12.8</v>
      </c>
    </row>
    <row r="283">
      <c r="A283" s="1" t="s">
        <v>350</v>
      </c>
      <c r="B283" s="1">
        <v>35.0</v>
      </c>
      <c r="C283" s="1" t="s">
        <v>30</v>
      </c>
      <c r="D283" s="1" t="s">
        <v>17</v>
      </c>
      <c r="E283" s="1" t="s">
        <v>23</v>
      </c>
      <c r="F283" s="1">
        <v>9.51</v>
      </c>
      <c r="G283" s="1">
        <v>1.26</v>
      </c>
      <c r="H283" s="1">
        <v>8.25</v>
      </c>
      <c r="I283" s="1">
        <v>6.46</v>
      </c>
      <c r="J283" s="1">
        <v>2.0</v>
      </c>
      <c r="K283" s="1">
        <v>7.1</v>
      </c>
      <c r="L283" s="1">
        <v>70.3</v>
      </c>
      <c r="M283" s="1">
        <v>98.0</v>
      </c>
      <c r="N283" s="1">
        <v>5.7</v>
      </c>
      <c r="O283" s="1">
        <v>35.2</v>
      </c>
    </row>
    <row r="284">
      <c r="A284" s="1" t="s">
        <v>351</v>
      </c>
      <c r="B284" s="1">
        <v>42.0</v>
      </c>
      <c r="C284" s="1" t="s">
        <v>16</v>
      </c>
      <c r="D284" s="1" t="s">
        <v>17</v>
      </c>
      <c r="E284" s="1" t="s">
        <v>18</v>
      </c>
      <c r="F284" s="1">
        <v>14.09</v>
      </c>
      <c r="G284" s="1">
        <v>7.1</v>
      </c>
      <c r="H284" s="1">
        <v>6.99</v>
      </c>
      <c r="I284" s="1">
        <v>7.76</v>
      </c>
      <c r="J284" s="1">
        <v>2.0</v>
      </c>
      <c r="K284" s="1">
        <v>10.0</v>
      </c>
      <c r="L284" s="1">
        <v>51.3</v>
      </c>
      <c r="M284" s="1">
        <v>35.0</v>
      </c>
      <c r="N284" s="1">
        <v>3.3</v>
      </c>
      <c r="O284" s="1">
        <v>10.4</v>
      </c>
    </row>
    <row r="285">
      <c r="A285" s="1" t="s">
        <v>352</v>
      </c>
      <c r="B285" s="1">
        <v>20.0</v>
      </c>
      <c r="C285" s="1" t="s">
        <v>16</v>
      </c>
      <c r="D285" s="1" t="s">
        <v>37</v>
      </c>
      <c r="E285" s="1" t="s">
        <v>27</v>
      </c>
      <c r="F285" s="1">
        <v>5.59</v>
      </c>
      <c r="G285" s="1">
        <v>1.48</v>
      </c>
      <c r="H285" s="1">
        <v>4.11</v>
      </c>
      <c r="I285" s="1">
        <v>7.58</v>
      </c>
      <c r="J285" s="1">
        <v>2.0</v>
      </c>
      <c r="K285" s="1">
        <v>6.3</v>
      </c>
      <c r="L285" s="1">
        <v>75.1</v>
      </c>
      <c r="M285" s="1">
        <v>171.0</v>
      </c>
      <c r="N285" s="1">
        <v>13.4</v>
      </c>
      <c r="O285" s="1">
        <v>39.4</v>
      </c>
    </row>
    <row r="286">
      <c r="A286" s="1" t="s">
        <v>353</v>
      </c>
      <c r="B286" s="1">
        <v>47.0</v>
      </c>
      <c r="C286" s="1" t="s">
        <v>34</v>
      </c>
      <c r="D286" s="1" t="s">
        <v>17</v>
      </c>
      <c r="E286" s="1" t="s">
        <v>23</v>
      </c>
      <c r="F286" s="1">
        <v>2.44</v>
      </c>
      <c r="G286" s="1">
        <v>0.29</v>
      </c>
      <c r="H286" s="1">
        <v>2.15</v>
      </c>
      <c r="I286" s="1">
        <v>6.04</v>
      </c>
      <c r="J286" s="1">
        <v>1.0</v>
      </c>
      <c r="K286" s="1">
        <v>6.7</v>
      </c>
      <c r="L286" s="1">
        <v>65.6</v>
      </c>
      <c r="M286" s="1">
        <v>132.0</v>
      </c>
      <c r="N286" s="1">
        <v>16.1</v>
      </c>
      <c r="O286" s="1">
        <v>28.4</v>
      </c>
    </row>
    <row r="287">
      <c r="A287" s="1" t="s">
        <v>354</v>
      </c>
      <c r="B287" s="1">
        <v>16.0</v>
      </c>
      <c r="C287" s="1" t="s">
        <v>30</v>
      </c>
      <c r="D287" s="1" t="s">
        <v>17</v>
      </c>
      <c r="E287" s="1" t="s">
        <v>27</v>
      </c>
      <c r="F287" s="1">
        <v>8.38</v>
      </c>
      <c r="G287" s="1">
        <v>0.42</v>
      </c>
      <c r="H287" s="1">
        <v>7.96</v>
      </c>
      <c r="I287" s="1">
        <v>7.27</v>
      </c>
      <c r="J287" s="1">
        <v>2.0</v>
      </c>
      <c r="K287" s="1">
        <v>6.9</v>
      </c>
      <c r="L287" s="1">
        <v>75.7</v>
      </c>
      <c r="M287" s="1">
        <v>111.0</v>
      </c>
      <c r="N287" s="1">
        <v>5.1</v>
      </c>
      <c r="O287" s="1">
        <v>30.9</v>
      </c>
    </row>
    <row r="288">
      <c r="A288" s="1" t="s">
        <v>355</v>
      </c>
      <c r="B288" s="1">
        <v>28.0</v>
      </c>
      <c r="C288" s="1" t="s">
        <v>16</v>
      </c>
      <c r="D288" s="1" t="s">
        <v>32</v>
      </c>
      <c r="E288" s="1" t="s">
        <v>18</v>
      </c>
      <c r="F288" s="1">
        <v>9.26</v>
      </c>
      <c r="G288" s="1">
        <v>3.6</v>
      </c>
      <c r="H288" s="1">
        <v>5.66</v>
      </c>
      <c r="I288" s="1">
        <v>6.71</v>
      </c>
      <c r="J288" s="1">
        <v>1.0</v>
      </c>
      <c r="K288" s="1">
        <v>7.8</v>
      </c>
      <c r="L288" s="1">
        <v>43.6</v>
      </c>
      <c r="M288" s="1">
        <v>112.0</v>
      </c>
      <c r="N288" s="1">
        <v>5.8</v>
      </c>
      <c r="O288" s="1">
        <v>13.5</v>
      </c>
    </row>
    <row r="289">
      <c r="A289" s="1" t="s">
        <v>356</v>
      </c>
      <c r="B289" s="1">
        <v>34.0</v>
      </c>
      <c r="C289" s="1" t="s">
        <v>30</v>
      </c>
      <c r="D289" s="1" t="s">
        <v>17</v>
      </c>
      <c r="E289" s="1" t="s">
        <v>27</v>
      </c>
      <c r="F289" s="1">
        <v>12.73</v>
      </c>
      <c r="G289" s="1">
        <v>2.63</v>
      </c>
      <c r="H289" s="1">
        <v>10.1</v>
      </c>
      <c r="I289" s="1">
        <v>6.47</v>
      </c>
      <c r="J289" s="1">
        <v>1.0</v>
      </c>
      <c r="K289" s="1">
        <v>10.0</v>
      </c>
      <c r="L289" s="1">
        <v>30.5</v>
      </c>
      <c r="M289" s="1">
        <v>97.0</v>
      </c>
      <c r="N289" s="1">
        <v>0.0</v>
      </c>
      <c r="O289" s="1">
        <v>6.4</v>
      </c>
    </row>
    <row r="290">
      <c r="A290" s="1" t="s">
        <v>357</v>
      </c>
      <c r="B290" s="1">
        <v>32.0</v>
      </c>
      <c r="C290" s="1" t="s">
        <v>30</v>
      </c>
      <c r="D290" s="1" t="s">
        <v>17</v>
      </c>
      <c r="E290" s="1" t="s">
        <v>27</v>
      </c>
      <c r="F290" s="1">
        <v>10.2</v>
      </c>
      <c r="G290" s="1">
        <v>0.51</v>
      </c>
      <c r="H290" s="1">
        <v>9.69</v>
      </c>
      <c r="I290" s="1">
        <v>6.6</v>
      </c>
      <c r="J290" s="1">
        <v>1.0</v>
      </c>
      <c r="K290" s="1">
        <v>10.0</v>
      </c>
      <c r="L290" s="1">
        <v>42.2</v>
      </c>
      <c r="M290" s="1">
        <v>96.0</v>
      </c>
      <c r="N290" s="1">
        <v>12.5</v>
      </c>
      <c r="O290" s="1">
        <v>0.0</v>
      </c>
    </row>
    <row r="291">
      <c r="A291" s="1" t="s">
        <v>358</v>
      </c>
      <c r="B291" s="1">
        <v>25.0</v>
      </c>
      <c r="C291" s="1" t="s">
        <v>16</v>
      </c>
      <c r="D291" s="1" t="s">
        <v>32</v>
      </c>
      <c r="E291" s="1" t="s">
        <v>27</v>
      </c>
      <c r="F291" s="1">
        <v>11.67</v>
      </c>
      <c r="G291" s="1">
        <v>2.83</v>
      </c>
      <c r="H291" s="1">
        <v>8.84</v>
      </c>
      <c r="I291" s="1">
        <v>7.25</v>
      </c>
      <c r="J291" s="1">
        <v>1.0</v>
      </c>
      <c r="K291" s="1">
        <v>8.6</v>
      </c>
      <c r="L291" s="1">
        <v>59.6</v>
      </c>
      <c r="M291" s="1">
        <v>121.0</v>
      </c>
      <c r="N291" s="1">
        <v>7.1</v>
      </c>
      <c r="O291" s="1">
        <v>15.2</v>
      </c>
    </row>
    <row r="292">
      <c r="A292" s="1" t="s">
        <v>359</v>
      </c>
      <c r="B292" s="1">
        <v>28.0</v>
      </c>
      <c r="C292" s="1" t="s">
        <v>30</v>
      </c>
      <c r="D292" s="1" t="s">
        <v>32</v>
      </c>
      <c r="E292" s="1" t="s">
        <v>23</v>
      </c>
      <c r="F292" s="1">
        <v>9.75</v>
      </c>
      <c r="G292" s="1">
        <v>2.51</v>
      </c>
      <c r="H292" s="1">
        <v>7.24</v>
      </c>
      <c r="I292" s="1">
        <v>7.81</v>
      </c>
      <c r="J292" s="1">
        <v>2.0</v>
      </c>
      <c r="K292" s="1">
        <v>5.5</v>
      </c>
      <c r="L292" s="1">
        <v>66.2</v>
      </c>
      <c r="M292" s="1">
        <v>43.0</v>
      </c>
      <c r="N292" s="1">
        <v>5.3</v>
      </c>
      <c r="O292" s="1">
        <v>30.6</v>
      </c>
    </row>
    <row r="293">
      <c r="A293" s="1" t="s">
        <v>360</v>
      </c>
      <c r="B293" s="1">
        <v>26.0</v>
      </c>
      <c r="C293" s="1" t="s">
        <v>16</v>
      </c>
      <c r="D293" s="1" t="s">
        <v>17</v>
      </c>
      <c r="E293" s="1" t="s">
        <v>27</v>
      </c>
      <c r="F293" s="1">
        <v>5.03</v>
      </c>
      <c r="G293" s="1">
        <v>0.89</v>
      </c>
      <c r="H293" s="1">
        <v>4.14</v>
      </c>
      <c r="I293" s="1">
        <v>7.83</v>
      </c>
      <c r="J293" s="1">
        <v>1.0</v>
      </c>
      <c r="K293" s="1">
        <v>6.2</v>
      </c>
      <c r="L293" s="1">
        <v>64.6</v>
      </c>
      <c r="M293" s="1">
        <v>224.0</v>
      </c>
      <c r="N293" s="1">
        <v>12.7</v>
      </c>
      <c r="O293" s="1">
        <v>35.4</v>
      </c>
    </row>
    <row r="294">
      <c r="A294" s="1" t="s">
        <v>361</v>
      </c>
      <c r="B294" s="1">
        <v>25.0</v>
      </c>
      <c r="C294" s="1" t="s">
        <v>16</v>
      </c>
      <c r="D294" s="1" t="s">
        <v>17</v>
      </c>
      <c r="E294" s="1" t="s">
        <v>27</v>
      </c>
      <c r="F294" s="1">
        <v>8.88</v>
      </c>
      <c r="G294" s="1">
        <v>0.44</v>
      </c>
      <c r="H294" s="1">
        <v>8.44</v>
      </c>
      <c r="I294" s="1">
        <v>6.75</v>
      </c>
      <c r="J294" s="1">
        <v>1.0</v>
      </c>
      <c r="K294" s="1">
        <v>8.4</v>
      </c>
      <c r="L294" s="1">
        <v>42.4</v>
      </c>
      <c r="M294" s="1">
        <v>86.0</v>
      </c>
      <c r="N294" s="1">
        <v>7.3</v>
      </c>
      <c r="O294" s="1">
        <v>11.4</v>
      </c>
    </row>
    <row r="295">
      <c r="A295" s="1" t="s">
        <v>362</v>
      </c>
      <c r="B295" s="1">
        <v>36.0</v>
      </c>
      <c r="C295" s="1" t="s">
        <v>16</v>
      </c>
      <c r="D295" s="1" t="s">
        <v>17</v>
      </c>
      <c r="E295" s="1" t="s">
        <v>23</v>
      </c>
      <c r="F295" s="1">
        <v>11.12</v>
      </c>
      <c r="G295" s="1">
        <v>1.17</v>
      </c>
      <c r="H295" s="1">
        <v>9.95</v>
      </c>
      <c r="I295" s="1">
        <v>6.76</v>
      </c>
      <c r="J295" s="1">
        <v>1.0</v>
      </c>
      <c r="K295" s="1">
        <v>10.0</v>
      </c>
      <c r="L295" s="1">
        <v>47.0</v>
      </c>
      <c r="M295" s="1">
        <v>2.0</v>
      </c>
      <c r="N295" s="1">
        <v>3.1</v>
      </c>
      <c r="O295" s="1">
        <v>2.0</v>
      </c>
    </row>
    <row r="296">
      <c r="A296" s="1" t="s">
        <v>363</v>
      </c>
      <c r="B296" s="1">
        <v>32.0</v>
      </c>
      <c r="C296" s="1" t="s">
        <v>30</v>
      </c>
      <c r="D296" s="1" t="s">
        <v>43</v>
      </c>
      <c r="E296" s="1" t="s">
        <v>27</v>
      </c>
      <c r="F296" s="1">
        <v>5.35</v>
      </c>
      <c r="G296" s="1">
        <v>0.31</v>
      </c>
      <c r="H296" s="1">
        <v>5.04</v>
      </c>
      <c r="I296" s="1">
        <v>7.63</v>
      </c>
      <c r="J296" s="1">
        <v>2.0</v>
      </c>
      <c r="K296" s="1">
        <v>6.5</v>
      </c>
      <c r="L296" s="1">
        <v>75.7</v>
      </c>
      <c r="M296" s="1">
        <v>140.0</v>
      </c>
      <c r="N296" s="1">
        <v>10.6</v>
      </c>
      <c r="O296" s="1">
        <v>40.7</v>
      </c>
    </row>
    <row r="297">
      <c r="A297" s="1" t="s">
        <v>364</v>
      </c>
      <c r="B297" s="1">
        <v>24.0</v>
      </c>
      <c r="C297" s="1" t="s">
        <v>16</v>
      </c>
      <c r="D297" s="1" t="s">
        <v>32</v>
      </c>
      <c r="E297" s="1" t="s">
        <v>18</v>
      </c>
      <c r="F297" s="1">
        <v>10.38</v>
      </c>
      <c r="G297" s="1">
        <v>4.83</v>
      </c>
      <c r="H297" s="1">
        <v>5.55</v>
      </c>
      <c r="I297" s="1">
        <v>6.14</v>
      </c>
      <c r="J297" s="1">
        <v>1.0</v>
      </c>
      <c r="K297" s="1">
        <v>9.5</v>
      </c>
      <c r="L297" s="1">
        <v>49.2</v>
      </c>
      <c r="M297" s="1">
        <v>33.0</v>
      </c>
      <c r="N297" s="1">
        <v>1.8</v>
      </c>
      <c r="O297" s="1">
        <v>4.0</v>
      </c>
    </row>
    <row r="298">
      <c r="A298" s="1" t="s">
        <v>366</v>
      </c>
      <c r="B298" s="1">
        <v>37.0</v>
      </c>
      <c r="C298" s="1" t="s">
        <v>16</v>
      </c>
      <c r="D298" s="1" t="s">
        <v>17</v>
      </c>
      <c r="E298" s="1" t="s">
        <v>27</v>
      </c>
      <c r="F298" s="1">
        <v>10.79</v>
      </c>
      <c r="G298" s="1">
        <v>0.54</v>
      </c>
      <c r="H298" s="1">
        <v>10.25</v>
      </c>
      <c r="I298" s="1">
        <v>7.31</v>
      </c>
      <c r="J298" s="1">
        <v>1.0</v>
      </c>
      <c r="K298" s="1">
        <v>7.8</v>
      </c>
      <c r="L298" s="1">
        <v>46.8</v>
      </c>
      <c r="M298" s="1">
        <v>143.0</v>
      </c>
      <c r="N298" s="1">
        <v>5.9</v>
      </c>
      <c r="O298" s="1">
        <v>19.1</v>
      </c>
    </row>
    <row r="299">
      <c r="A299" s="1" t="s">
        <v>368</v>
      </c>
      <c r="B299" s="1">
        <v>32.0</v>
      </c>
      <c r="C299" s="1" t="s">
        <v>16</v>
      </c>
      <c r="D299" s="1" t="s">
        <v>43</v>
      </c>
      <c r="E299" s="1" t="s">
        <v>23</v>
      </c>
      <c r="F299" s="1">
        <v>7.38</v>
      </c>
      <c r="G299" s="1">
        <v>1.53</v>
      </c>
      <c r="H299" s="1">
        <v>5.85</v>
      </c>
      <c r="I299" s="1">
        <v>7.68</v>
      </c>
      <c r="J299" s="1">
        <v>2.0</v>
      </c>
      <c r="K299" s="1">
        <v>9.8</v>
      </c>
      <c r="L299" s="1">
        <v>49.5</v>
      </c>
      <c r="M299" s="1">
        <v>269.0</v>
      </c>
      <c r="N299" s="1">
        <v>6.9</v>
      </c>
      <c r="O299" s="1">
        <v>18.1</v>
      </c>
    </row>
    <row r="300">
      <c r="A300" s="1" t="s">
        <v>369</v>
      </c>
      <c r="B300" s="1">
        <v>36.0</v>
      </c>
      <c r="C300" s="1" t="s">
        <v>30</v>
      </c>
      <c r="D300" s="1" t="s">
        <v>17</v>
      </c>
      <c r="E300" s="1" t="s">
        <v>18</v>
      </c>
      <c r="F300" s="1">
        <v>10.13</v>
      </c>
      <c r="G300" s="1">
        <v>2.61</v>
      </c>
      <c r="H300" s="1">
        <v>7.52</v>
      </c>
      <c r="I300" s="1">
        <v>8.17</v>
      </c>
      <c r="J300" s="1">
        <v>1.0</v>
      </c>
      <c r="K300" s="1">
        <v>8.6</v>
      </c>
      <c r="L300" s="1">
        <v>40.6</v>
      </c>
      <c r="M300" s="1">
        <v>45.0</v>
      </c>
      <c r="N300" s="1">
        <v>7.3</v>
      </c>
      <c r="O300" s="1">
        <v>9.0</v>
      </c>
    </row>
    <row r="301">
      <c r="A301" s="1" t="s">
        <v>371</v>
      </c>
      <c r="B301" s="1">
        <v>35.0</v>
      </c>
      <c r="C301" s="1" t="s">
        <v>30</v>
      </c>
      <c r="D301" s="1" t="s">
        <v>17</v>
      </c>
      <c r="E301" s="1" t="s">
        <v>27</v>
      </c>
      <c r="F301" s="1">
        <v>6.4</v>
      </c>
      <c r="G301" s="1">
        <v>0.54</v>
      </c>
      <c r="H301" s="1">
        <v>5.86</v>
      </c>
      <c r="I301" s="1">
        <v>8.49</v>
      </c>
      <c r="J301" s="1">
        <v>1.0</v>
      </c>
      <c r="K301" s="1">
        <v>5.5</v>
      </c>
      <c r="L301" s="1">
        <v>66.9</v>
      </c>
      <c r="M301" s="1">
        <v>145.0</v>
      </c>
      <c r="N301" s="1">
        <v>8.6</v>
      </c>
      <c r="O301" s="1">
        <v>36.9</v>
      </c>
    </row>
    <row r="302">
      <c r="A302" s="1" t="s">
        <v>373</v>
      </c>
      <c r="B302" s="1">
        <v>23.0</v>
      </c>
      <c r="C302" s="1" t="s">
        <v>16</v>
      </c>
      <c r="D302" s="1" t="s">
        <v>17</v>
      </c>
      <c r="E302" s="1" t="s">
        <v>18</v>
      </c>
      <c r="F302" s="1">
        <v>8.62</v>
      </c>
      <c r="G302" s="1">
        <v>3.15</v>
      </c>
      <c r="H302" s="1">
        <v>5.47</v>
      </c>
      <c r="I302" s="1">
        <v>6.49</v>
      </c>
      <c r="J302" s="1">
        <v>1.0</v>
      </c>
      <c r="K302" s="1">
        <v>10.0</v>
      </c>
      <c r="L302" s="1">
        <v>38.6</v>
      </c>
      <c r="M302" s="1">
        <v>0.0</v>
      </c>
      <c r="N302" s="1">
        <v>15.5</v>
      </c>
      <c r="O302" s="1">
        <v>4.9</v>
      </c>
    </row>
    <row r="303">
      <c r="A303" s="1" t="s">
        <v>376</v>
      </c>
      <c r="B303" s="1">
        <v>25.0</v>
      </c>
      <c r="C303" s="1" t="s">
        <v>16</v>
      </c>
      <c r="D303" s="1" t="s">
        <v>17</v>
      </c>
      <c r="E303" s="1" t="s">
        <v>27</v>
      </c>
      <c r="F303" s="1">
        <v>11.05</v>
      </c>
      <c r="G303" s="1">
        <v>0.81</v>
      </c>
      <c r="H303" s="1">
        <v>10.24</v>
      </c>
      <c r="I303" s="1">
        <v>7.35</v>
      </c>
      <c r="J303" s="1">
        <v>1.0</v>
      </c>
      <c r="K303" s="1">
        <v>10.0</v>
      </c>
      <c r="L303" s="1">
        <v>34.4</v>
      </c>
      <c r="M303" s="1">
        <v>121.0</v>
      </c>
      <c r="N303" s="1">
        <v>6.4</v>
      </c>
      <c r="O303" s="1">
        <v>3.6</v>
      </c>
    </row>
    <row r="304">
      <c r="A304" s="1" t="s">
        <v>377</v>
      </c>
      <c r="B304" s="1">
        <v>35.0</v>
      </c>
      <c r="C304" s="1" t="s">
        <v>30</v>
      </c>
      <c r="D304" s="1" t="s">
        <v>37</v>
      </c>
      <c r="E304" s="1" t="s">
        <v>18</v>
      </c>
      <c r="F304" s="1">
        <v>8.55</v>
      </c>
      <c r="G304" s="1">
        <v>2.65</v>
      </c>
      <c r="H304" s="1">
        <v>5.9</v>
      </c>
      <c r="I304" s="1">
        <v>6.41</v>
      </c>
      <c r="J304" s="1">
        <v>1.0</v>
      </c>
      <c r="K304" s="1">
        <v>8.7</v>
      </c>
      <c r="L304" s="1">
        <v>47.8</v>
      </c>
      <c r="M304" s="1">
        <v>47.0</v>
      </c>
      <c r="N304" s="1">
        <v>0.0</v>
      </c>
      <c r="O304" s="1">
        <v>10.7</v>
      </c>
    </row>
    <row r="305">
      <c r="A305" s="1" t="s">
        <v>381</v>
      </c>
      <c r="B305" s="1">
        <v>34.0</v>
      </c>
      <c r="C305" s="1" t="s">
        <v>16</v>
      </c>
      <c r="D305" s="1" t="s">
        <v>17</v>
      </c>
      <c r="E305" s="1" t="s">
        <v>27</v>
      </c>
      <c r="F305" s="1">
        <v>10.36</v>
      </c>
      <c r="G305" s="1">
        <v>0.52</v>
      </c>
      <c r="H305" s="1">
        <v>9.84</v>
      </c>
      <c r="I305" s="1">
        <v>7.44</v>
      </c>
      <c r="J305" s="1">
        <v>2.0</v>
      </c>
      <c r="K305" s="1">
        <v>9.8</v>
      </c>
      <c r="L305" s="1">
        <v>46.3</v>
      </c>
      <c r="M305" s="1">
        <v>54.0</v>
      </c>
      <c r="N305" s="1">
        <v>0.0</v>
      </c>
      <c r="O305" s="1">
        <v>20.7</v>
      </c>
    </row>
    <row r="306">
      <c r="A306" s="1" t="s">
        <v>385</v>
      </c>
      <c r="B306" s="1">
        <v>29.0</v>
      </c>
      <c r="C306" s="1" t="s">
        <v>16</v>
      </c>
      <c r="D306" s="1" t="s">
        <v>35</v>
      </c>
      <c r="E306" s="1" t="s">
        <v>27</v>
      </c>
      <c r="F306" s="1">
        <v>6.82</v>
      </c>
      <c r="G306" s="1">
        <v>0.98</v>
      </c>
      <c r="H306" s="1">
        <v>5.84</v>
      </c>
      <c r="I306" s="1">
        <v>6.95</v>
      </c>
      <c r="J306" s="1">
        <v>1.0</v>
      </c>
      <c r="K306" s="1">
        <v>9.1</v>
      </c>
      <c r="L306" s="1">
        <v>48.1</v>
      </c>
      <c r="M306" s="1">
        <v>39.0</v>
      </c>
      <c r="N306" s="1">
        <v>8.2</v>
      </c>
      <c r="O306" s="1">
        <v>10.0</v>
      </c>
    </row>
    <row r="307">
      <c r="A307" s="1" t="s">
        <v>388</v>
      </c>
      <c r="B307" s="1">
        <v>30.0</v>
      </c>
      <c r="C307" s="1" t="s">
        <v>16</v>
      </c>
      <c r="D307" s="1" t="s">
        <v>32</v>
      </c>
      <c r="E307" s="1" t="s">
        <v>18</v>
      </c>
      <c r="F307" s="1">
        <v>12.63</v>
      </c>
      <c r="G307" s="1">
        <v>1.68</v>
      </c>
      <c r="H307" s="1">
        <v>10.95</v>
      </c>
      <c r="I307" s="1">
        <v>5.69</v>
      </c>
      <c r="J307" s="1">
        <v>1.0</v>
      </c>
      <c r="K307" s="1">
        <v>10.0</v>
      </c>
      <c r="L307" s="1">
        <v>41.9</v>
      </c>
      <c r="M307" s="1">
        <v>133.0</v>
      </c>
      <c r="N307" s="1">
        <v>1.9</v>
      </c>
      <c r="O307" s="1">
        <v>10.7</v>
      </c>
    </row>
    <row r="308">
      <c r="A308" s="1" t="s">
        <v>391</v>
      </c>
      <c r="B308" s="1">
        <v>40.0</v>
      </c>
      <c r="C308" s="1" t="s">
        <v>16</v>
      </c>
      <c r="D308" s="1" t="s">
        <v>32</v>
      </c>
      <c r="E308" s="1" t="s">
        <v>27</v>
      </c>
      <c r="F308" s="1">
        <v>10.07</v>
      </c>
      <c r="G308" s="1">
        <v>1.71</v>
      </c>
      <c r="H308" s="1">
        <v>8.36</v>
      </c>
      <c r="I308" s="1">
        <v>7.21</v>
      </c>
      <c r="J308" s="1">
        <v>1.0</v>
      </c>
      <c r="K308" s="1">
        <v>10.0</v>
      </c>
      <c r="L308" s="1">
        <v>43.4</v>
      </c>
      <c r="M308" s="1">
        <v>173.0</v>
      </c>
      <c r="N308" s="1">
        <v>6.5</v>
      </c>
      <c r="O308" s="1">
        <v>8.1</v>
      </c>
    </row>
    <row r="309">
      <c r="A309" s="1" t="s">
        <v>392</v>
      </c>
      <c r="B309" s="1">
        <v>25.0</v>
      </c>
      <c r="C309" s="1" t="s">
        <v>16</v>
      </c>
      <c r="D309" s="1" t="s">
        <v>32</v>
      </c>
      <c r="E309" s="1" t="s">
        <v>23</v>
      </c>
      <c r="F309" s="1">
        <v>10.44</v>
      </c>
      <c r="G309" s="1">
        <v>1.87</v>
      </c>
      <c r="H309" s="1">
        <v>8.57</v>
      </c>
      <c r="I309" s="1">
        <v>4.64</v>
      </c>
      <c r="J309" s="1">
        <v>1.0</v>
      </c>
      <c r="K309" s="1">
        <v>7.1</v>
      </c>
      <c r="L309" s="1">
        <v>52.2</v>
      </c>
      <c r="M309" s="1">
        <v>94.0</v>
      </c>
      <c r="N309" s="1">
        <v>5.5</v>
      </c>
      <c r="O309" s="1">
        <v>9.4</v>
      </c>
    </row>
    <row r="310">
      <c r="A310" s="1" t="s">
        <v>393</v>
      </c>
      <c r="B310" s="1">
        <v>34.0</v>
      </c>
      <c r="C310" s="1" t="s">
        <v>16</v>
      </c>
      <c r="D310" s="1" t="s">
        <v>17</v>
      </c>
      <c r="E310" s="1" t="s">
        <v>23</v>
      </c>
      <c r="F310" s="1">
        <v>7.77</v>
      </c>
      <c r="G310" s="1">
        <v>1.38</v>
      </c>
      <c r="H310" s="1">
        <v>6.39</v>
      </c>
      <c r="I310" s="1">
        <v>5.87</v>
      </c>
      <c r="J310" s="1">
        <v>1.0</v>
      </c>
      <c r="K310" s="1">
        <v>9.4</v>
      </c>
      <c r="L310" s="1">
        <v>49.8</v>
      </c>
      <c r="M310" s="1">
        <v>53.0</v>
      </c>
      <c r="N310" s="1">
        <v>5.6</v>
      </c>
      <c r="O310" s="1">
        <v>14.8</v>
      </c>
    </row>
    <row r="311">
      <c r="A311" s="1" t="s">
        <v>394</v>
      </c>
      <c r="B311" s="1">
        <v>28.0</v>
      </c>
      <c r="C311" s="1" t="s">
        <v>16</v>
      </c>
      <c r="D311" s="1" t="s">
        <v>17</v>
      </c>
      <c r="E311" s="1" t="s">
        <v>18</v>
      </c>
      <c r="F311" s="1">
        <v>8.45</v>
      </c>
      <c r="G311" s="1">
        <v>2.96</v>
      </c>
      <c r="H311" s="1">
        <v>5.49</v>
      </c>
      <c r="I311" s="1">
        <v>6.97</v>
      </c>
      <c r="J311" s="1">
        <v>2.0</v>
      </c>
      <c r="K311" s="1">
        <v>6.3</v>
      </c>
      <c r="L311" s="1">
        <v>60.2</v>
      </c>
      <c r="M311" s="1">
        <v>218.0</v>
      </c>
      <c r="N311" s="1">
        <v>0.0</v>
      </c>
      <c r="O311" s="1">
        <v>39.6</v>
      </c>
    </row>
    <row r="312">
      <c r="A312" s="1" t="s">
        <v>395</v>
      </c>
      <c r="B312" s="1">
        <v>28.0</v>
      </c>
      <c r="C312" s="1" t="s">
        <v>30</v>
      </c>
      <c r="D312" s="1" t="s">
        <v>35</v>
      </c>
      <c r="E312" s="1" t="s">
        <v>18</v>
      </c>
      <c r="F312" s="1">
        <v>7.77</v>
      </c>
      <c r="G312" s="1">
        <v>3.57</v>
      </c>
      <c r="H312" s="1">
        <v>4.2</v>
      </c>
      <c r="I312" s="1">
        <v>7.28</v>
      </c>
      <c r="J312" s="1">
        <v>2.0</v>
      </c>
      <c r="K312" s="1">
        <v>9.1</v>
      </c>
      <c r="L312" s="1">
        <v>56.6</v>
      </c>
      <c r="M312" s="1">
        <v>58.0</v>
      </c>
      <c r="N312" s="1">
        <v>5.7</v>
      </c>
      <c r="O312" s="1">
        <v>19.0</v>
      </c>
    </row>
    <row r="313">
      <c r="A313" s="1" t="s">
        <v>396</v>
      </c>
      <c r="B313" s="1">
        <v>38.0</v>
      </c>
      <c r="C313" s="1" t="s">
        <v>16</v>
      </c>
      <c r="D313" s="1" t="s">
        <v>17</v>
      </c>
      <c r="E313" s="1" t="s">
        <v>18</v>
      </c>
      <c r="F313" s="1">
        <v>8.56</v>
      </c>
      <c r="G313" s="1">
        <v>3.17</v>
      </c>
      <c r="H313" s="1">
        <v>5.39</v>
      </c>
      <c r="I313" s="1">
        <v>6.9</v>
      </c>
      <c r="J313" s="1">
        <v>1.0</v>
      </c>
      <c r="K313" s="1">
        <v>9.1</v>
      </c>
      <c r="L313" s="1">
        <v>49.7</v>
      </c>
      <c r="M313" s="1">
        <v>0.0</v>
      </c>
      <c r="N313" s="1">
        <v>11.4</v>
      </c>
      <c r="O313" s="1">
        <v>8.8</v>
      </c>
    </row>
    <row r="314">
      <c r="A314" s="1" t="s">
        <v>397</v>
      </c>
      <c r="B314" s="1">
        <v>36.0</v>
      </c>
      <c r="C314" s="1" t="s">
        <v>30</v>
      </c>
      <c r="D314" s="1" t="s">
        <v>43</v>
      </c>
      <c r="E314" s="1" t="s">
        <v>23</v>
      </c>
      <c r="F314" s="1">
        <v>5.18</v>
      </c>
      <c r="G314" s="1">
        <v>0.73</v>
      </c>
      <c r="H314" s="1">
        <v>4.45</v>
      </c>
      <c r="I314" s="1">
        <v>6.42</v>
      </c>
      <c r="J314" s="1">
        <v>1.0</v>
      </c>
      <c r="K314" s="1">
        <v>5.1</v>
      </c>
      <c r="L314" s="1">
        <v>60.8</v>
      </c>
      <c r="M314" s="1">
        <v>162.0</v>
      </c>
      <c r="N314" s="1">
        <v>8.2</v>
      </c>
      <c r="O314" s="1">
        <v>33.6</v>
      </c>
    </row>
    <row r="315">
      <c r="A315" s="1" t="s">
        <v>398</v>
      </c>
      <c r="B315" s="1">
        <v>36.0</v>
      </c>
      <c r="C315" s="1" t="s">
        <v>30</v>
      </c>
      <c r="D315" s="1" t="s">
        <v>32</v>
      </c>
      <c r="E315" s="1" t="s">
        <v>23</v>
      </c>
      <c r="F315" s="1">
        <v>9.55</v>
      </c>
      <c r="G315" s="1">
        <v>1.33</v>
      </c>
      <c r="H315" s="1">
        <v>8.22</v>
      </c>
      <c r="I315" s="1">
        <v>6.37</v>
      </c>
      <c r="J315" s="1">
        <v>1.0</v>
      </c>
      <c r="K315" s="1">
        <v>10.0</v>
      </c>
      <c r="L315" s="1">
        <v>49.6</v>
      </c>
      <c r="M315" s="1">
        <v>26.0</v>
      </c>
      <c r="N315" s="1">
        <v>0.0</v>
      </c>
      <c r="O315" s="1">
        <v>4.6</v>
      </c>
    </row>
    <row r="316">
      <c r="A316" s="1" t="s">
        <v>399</v>
      </c>
      <c r="B316" s="1">
        <v>40.0</v>
      </c>
      <c r="C316" s="1" t="s">
        <v>16</v>
      </c>
      <c r="D316" s="1" t="s">
        <v>35</v>
      </c>
      <c r="E316" s="1" t="s">
        <v>27</v>
      </c>
      <c r="F316" s="1">
        <v>9.73</v>
      </c>
      <c r="G316" s="1">
        <v>1.55</v>
      </c>
      <c r="H316" s="1">
        <v>8.18</v>
      </c>
      <c r="I316" s="1">
        <v>7.35</v>
      </c>
      <c r="J316" s="1">
        <v>1.0</v>
      </c>
      <c r="K316" s="1">
        <v>10.0</v>
      </c>
      <c r="L316" s="1">
        <v>38.1</v>
      </c>
      <c r="M316" s="1">
        <v>174.0</v>
      </c>
      <c r="N316" s="1">
        <v>7.8</v>
      </c>
      <c r="O316" s="1">
        <v>0.0</v>
      </c>
    </row>
    <row r="317">
      <c r="A317" s="1" t="s">
        <v>400</v>
      </c>
      <c r="B317" s="1">
        <v>30.0</v>
      </c>
      <c r="C317" s="1" t="s">
        <v>30</v>
      </c>
      <c r="D317" s="1" t="s">
        <v>17</v>
      </c>
      <c r="E317" s="1" t="s">
        <v>23</v>
      </c>
      <c r="F317" s="1">
        <v>6.71</v>
      </c>
      <c r="G317" s="1">
        <v>1.59</v>
      </c>
      <c r="H317" s="1">
        <v>5.12</v>
      </c>
      <c r="I317" s="1">
        <v>7.86</v>
      </c>
      <c r="J317" s="1">
        <v>1.0</v>
      </c>
      <c r="K317" s="1">
        <v>8.3</v>
      </c>
      <c r="L317" s="1">
        <v>55.3</v>
      </c>
      <c r="M317" s="1">
        <v>91.0</v>
      </c>
      <c r="N317" s="1">
        <v>16.2</v>
      </c>
      <c r="O317" s="1">
        <v>23.3</v>
      </c>
    </row>
    <row r="318">
      <c r="A318" s="1" t="s">
        <v>401</v>
      </c>
      <c r="B318" s="1">
        <v>35.0</v>
      </c>
      <c r="C318" s="1" t="s">
        <v>16</v>
      </c>
      <c r="D318" s="1" t="s">
        <v>17</v>
      </c>
      <c r="E318" s="1" t="s">
        <v>27</v>
      </c>
      <c r="F318" s="1">
        <v>7.17</v>
      </c>
      <c r="G318" s="1">
        <v>1.87</v>
      </c>
      <c r="H318" s="1">
        <v>5.3</v>
      </c>
      <c r="I318" s="1">
        <v>7.36</v>
      </c>
      <c r="J318" s="1">
        <v>2.0</v>
      </c>
      <c r="K318" s="1">
        <v>5.0</v>
      </c>
      <c r="L318" s="1">
        <v>80.2</v>
      </c>
      <c r="M318" s="1">
        <v>160.0</v>
      </c>
      <c r="N318" s="1">
        <v>9.2</v>
      </c>
      <c r="O318" s="1">
        <v>51.1</v>
      </c>
    </row>
    <row r="319">
      <c r="A319" s="1" t="s">
        <v>402</v>
      </c>
      <c r="B319" s="1">
        <v>27.0</v>
      </c>
      <c r="C319" s="1" t="s">
        <v>30</v>
      </c>
      <c r="D319" s="1" t="s">
        <v>35</v>
      </c>
      <c r="E319" s="1" t="s">
        <v>27</v>
      </c>
      <c r="F319" s="1">
        <v>7.77</v>
      </c>
      <c r="G319" s="1">
        <v>0.39</v>
      </c>
      <c r="H319" s="1">
        <v>7.38</v>
      </c>
      <c r="I319" s="1">
        <v>8.13</v>
      </c>
      <c r="J319" s="1">
        <v>2.0</v>
      </c>
      <c r="K319" s="1">
        <v>6.3</v>
      </c>
      <c r="L319" s="1">
        <v>72.7</v>
      </c>
      <c r="M319" s="1">
        <v>208.0</v>
      </c>
      <c r="N319" s="1">
        <v>0.0</v>
      </c>
      <c r="O319" s="1">
        <v>41.2</v>
      </c>
    </row>
    <row r="320">
      <c r="A320" s="1" t="s">
        <v>403</v>
      </c>
      <c r="B320" s="1">
        <v>32.0</v>
      </c>
      <c r="C320" s="1" t="s">
        <v>16</v>
      </c>
      <c r="D320" s="1" t="s">
        <v>17</v>
      </c>
      <c r="E320" s="1" t="s">
        <v>18</v>
      </c>
      <c r="F320" s="1">
        <v>11.71</v>
      </c>
      <c r="G320" s="1">
        <v>3.83</v>
      </c>
      <c r="H320" s="1">
        <v>7.88</v>
      </c>
      <c r="I320" s="1">
        <v>6.98</v>
      </c>
      <c r="J320" s="1">
        <v>1.0</v>
      </c>
      <c r="K320" s="1">
        <v>10.0</v>
      </c>
      <c r="L320" s="1">
        <v>40.6</v>
      </c>
      <c r="M320" s="1">
        <v>4.0</v>
      </c>
      <c r="N320" s="1">
        <v>10.3</v>
      </c>
      <c r="O320" s="1">
        <v>0.0</v>
      </c>
    </row>
    <row r="321">
      <c r="A321" s="1" t="s">
        <v>404</v>
      </c>
      <c r="B321" s="1">
        <v>28.0</v>
      </c>
      <c r="C321" s="1" t="s">
        <v>16</v>
      </c>
      <c r="D321" s="1" t="s">
        <v>17</v>
      </c>
      <c r="E321" s="1" t="s">
        <v>23</v>
      </c>
      <c r="F321" s="1">
        <v>10.02</v>
      </c>
      <c r="G321" s="1">
        <v>0.5</v>
      </c>
      <c r="H321" s="1">
        <v>9.52</v>
      </c>
      <c r="I321" s="1">
        <v>6.28</v>
      </c>
      <c r="J321" s="1">
        <v>1.0</v>
      </c>
      <c r="K321" s="1">
        <v>10.0</v>
      </c>
      <c r="L321" s="1">
        <v>40.8</v>
      </c>
      <c r="M321" s="1">
        <v>57.0</v>
      </c>
      <c r="N321" s="1">
        <v>0.0</v>
      </c>
      <c r="O321" s="1">
        <v>2.1</v>
      </c>
    </row>
    <row r="322">
      <c r="A322" s="1" t="s">
        <v>405</v>
      </c>
      <c r="B322" s="1">
        <v>30.0</v>
      </c>
      <c r="C322" s="1" t="s">
        <v>16</v>
      </c>
      <c r="D322" s="1" t="s">
        <v>32</v>
      </c>
      <c r="E322" s="1" t="s">
        <v>18</v>
      </c>
      <c r="F322" s="1">
        <v>13.4</v>
      </c>
      <c r="G322" s="1">
        <v>4.99</v>
      </c>
      <c r="H322" s="1">
        <v>8.41</v>
      </c>
      <c r="I322" s="1">
        <v>6.17</v>
      </c>
      <c r="J322" s="1">
        <v>1.0</v>
      </c>
      <c r="K322" s="1">
        <v>10.0</v>
      </c>
      <c r="L322" s="1">
        <v>43.6</v>
      </c>
      <c r="M322" s="1">
        <v>72.0</v>
      </c>
      <c r="N322" s="1">
        <v>14.1</v>
      </c>
      <c r="O322" s="1">
        <v>3.1</v>
      </c>
    </row>
    <row r="323">
      <c r="A323" s="1" t="s">
        <v>406</v>
      </c>
      <c r="B323" s="1">
        <v>34.0</v>
      </c>
      <c r="C323" s="1" t="s">
        <v>34</v>
      </c>
      <c r="D323" s="1" t="s">
        <v>32</v>
      </c>
      <c r="E323" s="1" t="s">
        <v>23</v>
      </c>
      <c r="F323" s="1">
        <v>9.01</v>
      </c>
      <c r="G323" s="1">
        <v>0.45</v>
      </c>
      <c r="H323" s="1">
        <v>8.56</v>
      </c>
      <c r="I323" s="1">
        <v>5.97</v>
      </c>
      <c r="J323" s="1">
        <v>1.0</v>
      </c>
      <c r="K323" s="1">
        <v>6.2</v>
      </c>
      <c r="L323" s="1">
        <v>63.7</v>
      </c>
      <c r="M323" s="1">
        <v>214.0</v>
      </c>
      <c r="N323" s="1">
        <v>10.6</v>
      </c>
      <c r="O323" s="1">
        <v>34.9</v>
      </c>
    </row>
    <row r="324">
      <c r="A324" s="1" t="s">
        <v>407</v>
      </c>
      <c r="B324" s="1">
        <v>23.0</v>
      </c>
      <c r="C324" s="1" t="s">
        <v>16</v>
      </c>
      <c r="D324" s="1" t="s">
        <v>43</v>
      </c>
      <c r="E324" s="1" t="s">
        <v>23</v>
      </c>
      <c r="F324" s="1">
        <v>3.64</v>
      </c>
      <c r="G324" s="1">
        <v>0.29</v>
      </c>
      <c r="H324" s="1">
        <v>3.35</v>
      </c>
      <c r="I324" s="1">
        <v>7.7</v>
      </c>
      <c r="J324" s="1">
        <v>3.0</v>
      </c>
      <c r="K324" s="1">
        <v>3.0</v>
      </c>
      <c r="L324" s="1">
        <v>88.8</v>
      </c>
      <c r="M324" s="1">
        <v>87.0</v>
      </c>
      <c r="N324" s="1">
        <v>0.0</v>
      </c>
      <c r="O324" s="1">
        <v>65.3</v>
      </c>
    </row>
    <row r="325">
      <c r="A325" s="1" t="s">
        <v>408</v>
      </c>
      <c r="B325" s="1">
        <v>46.0</v>
      </c>
      <c r="C325" s="1" t="s">
        <v>30</v>
      </c>
      <c r="D325" s="1" t="s">
        <v>17</v>
      </c>
      <c r="E325" s="1" t="s">
        <v>23</v>
      </c>
      <c r="F325" s="1">
        <v>9.17</v>
      </c>
      <c r="G325" s="1">
        <v>0.46</v>
      </c>
      <c r="H325" s="1">
        <v>8.71</v>
      </c>
      <c r="I325" s="1">
        <v>8.07</v>
      </c>
      <c r="J325" s="1">
        <v>2.0</v>
      </c>
      <c r="K325" s="1">
        <v>7.7</v>
      </c>
      <c r="L325" s="1">
        <v>54.7</v>
      </c>
      <c r="M325" s="1">
        <v>69.0</v>
      </c>
      <c r="N325" s="1">
        <v>8.1</v>
      </c>
      <c r="O325" s="1">
        <v>16.2</v>
      </c>
    </row>
    <row r="326">
      <c r="A326" s="1" t="s">
        <v>409</v>
      </c>
      <c r="B326" s="1">
        <v>21.0</v>
      </c>
      <c r="C326" s="1" t="s">
        <v>16</v>
      </c>
      <c r="D326" s="1" t="s">
        <v>17</v>
      </c>
      <c r="E326" s="1" t="s">
        <v>18</v>
      </c>
      <c r="F326" s="1">
        <v>11.2</v>
      </c>
      <c r="G326" s="1">
        <v>4.76</v>
      </c>
      <c r="H326" s="1">
        <v>6.44</v>
      </c>
      <c r="I326" s="1">
        <v>7.18</v>
      </c>
      <c r="J326" s="1">
        <v>2.0</v>
      </c>
      <c r="K326" s="1">
        <v>8.5</v>
      </c>
      <c r="L326" s="1">
        <v>40.8</v>
      </c>
      <c r="M326" s="1">
        <v>120.0</v>
      </c>
      <c r="N326" s="1">
        <v>7.7</v>
      </c>
      <c r="O326" s="1">
        <v>21.3</v>
      </c>
    </row>
    <row r="327">
      <c r="A327" s="1" t="s">
        <v>410</v>
      </c>
      <c r="B327" s="1">
        <v>20.0</v>
      </c>
      <c r="C327" s="1" t="s">
        <v>30</v>
      </c>
      <c r="D327" s="1" t="s">
        <v>17</v>
      </c>
      <c r="E327" s="1" t="s">
        <v>27</v>
      </c>
      <c r="F327" s="1">
        <v>9.78</v>
      </c>
      <c r="G327" s="1">
        <v>1.49</v>
      </c>
      <c r="H327" s="1">
        <v>8.29</v>
      </c>
      <c r="I327" s="1">
        <v>7.95</v>
      </c>
      <c r="J327" s="1">
        <v>1.0</v>
      </c>
      <c r="K327" s="1">
        <v>8.7</v>
      </c>
      <c r="L327" s="1">
        <v>49.5</v>
      </c>
      <c r="M327" s="1">
        <v>54.0</v>
      </c>
      <c r="N327" s="1">
        <v>1.9</v>
      </c>
      <c r="O327" s="1">
        <v>19.3</v>
      </c>
    </row>
    <row r="328">
      <c r="A328" s="1" t="s">
        <v>411</v>
      </c>
      <c r="B328" s="1">
        <v>39.0</v>
      </c>
      <c r="C328" s="1" t="s">
        <v>16</v>
      </c>
      <c r="D328" s="1" t="s">
        <v>32</v>
      </c>
      <c r="E328" s="1" t="s">
        <v>18</v>
      </c>
      <c r="F328" s="1">
        <v>8.12</v>
      </c>
      <c r="G328" s="1">
        <v>5.53</v>
      </c>
      <c r="H328" s="1">
        <v>2.59</v>
      </c>
      <c r="I328" s="1">
        <v>7.03</v>
      </c>
      <c r="J328" s="1">
        <v>1.0</v>
      </c>
      <c r="K328" s="1">
        <v>8.2</v>
      </c>
      <c r="L328" s="1">
        <v>52.5</v>
      </c>
      <c r="M328" s="1">
        <v>124.0</v>
      </c>
      <c r="N328" s="1">
        <v>5.7</v>
      </c>
      <c r="O328" s="1">
        <v>9.7</v>
      </c>
    </row>
    <row r="329">
      <c r="A329" s="1" t="s">
        <v>412</v>
      </c>
      <c r="B329" s="1">
        <v>36.0</v>
      </c>
      <c r="C329" s="1" t="s">
        <v>30</v>
      </c>
      <c r="D329" s="1" t="s">
        <v>32</v>
      </c>
      <c r="E329" s="1" t="s">
        <v>18</v>
      </c>
      <c r="F329" s="1">
        <v>9.61</v>
      </c>
      <c r="G329" s="1">
        <v>3.45</v>
      </c>
      <c r="H329" s="1">
        <v>6.16</v>
      </c>
      <c r="I329" s="1">
        <v>8.1</v>
      </c>
      <c r="J329" s="1">
        <v>2.0</v>
      </c>
      <c r="K329" s="1">
        <v>3.1</v>
      </c>
      <c r="L329" s="1">
        <v>84.0</v>
      </c>
      <c r="M329" s="1">
        <v>0.0</v>
      </c>
      <c r="N329" s="1">
        <v>2.0</v>
      </c>
      <c r="O329" s="1">
        <v>68.4</v>
      </c>
    </row>
    <row r="330">
      <c r="A330" s="1" t="s">
        <v>413</v>
      </c>
      <c r="B330" s="1">
        <v>34.0</v>
      </c>
      <c r="C330" s="1" t="s">
        <v>16</v>
      </c>
      <c r="D330" s="1" t="s">
        <v>17</v>
      </c>
      <c r="E330" s="1" t="s">
        <v>18</v>
      </c>
      <c r="F330" s="1">
        <v>13.08</v>
      </c>
      <c r="G330" s="1">
        <v>2.05</v>
      </c>
      <c r="H330" s="1">
        <v>11.03</v>
      </c>
      <c r="I330" s="1">
        <v>6.32</v>
      </c>
      <c r="J330" s="1">
        <v>1.0</v>
      </c>
      <c r="K330" s="1">
        <v>10.0</v>
      </c>
      <c r="L330" s="1">
        <v>40.5</v>
      </c>
      <c r="M330" s="1">
        <v>237.0</v>
      </c>
      <c r="N330" s="1">
        <v>7.9</v>
      </c>
      <c r="O330" s="1">
        <v>6.6</v>
      </c>
    </row>
    <row r="331">
      <c r="A331" s="1" t="s">
        <v>414</v>
      </c>
      <c r="B331" s="1">
        <v>35.0</v>
      </c>
      <c r="C331" s="1" t="s">
        <v>16</v>
      </c>
      <c r="D331" s="1" t="s">
        <v>17</v>
      </c>
      <c r="E331" s="1" t="s">
        <v>23</v>
      </c>
      <c r="F331" s="1">
        <v>10.7</v>
      </c>
      <c r="G331" s="1">
        <v>2.18</v>
      </c>
      <c r="H331" s="1">
        <v>8.52</v>
      </c>
      <c r="I331" s="1">
        <v>8.02</v>
      </c>
      <c r="J331" s="1">
        <v>2.0</v>
      </c>
      <c r="K331" s="1">
        <v>8.0</v>
      </c>
      <c r="L331" s="1">
        <v>64.0</v>
      </c>
      <c r="M331" s="1">
        <v>2.0</v>
      </c>
      <c r="N331" s="1">
        <v>3.1</v>
      </c>
      <c r="O331" s="1">
        <v>26.4</v>
      </c>
    </row>
    <row r="332">
      <c r="A332" s="1" t="s">
        <v>415</v>
      </c>
      <c r="B332" s="1">
        <v>29.0</v>
      </c>
      <c r="C332" s="1" t="s">
        <v>16</v>
      </c>
      <c r="D332" s="1" t="s">
        <v>32</v>
      </c>
      <c r="E332" s="1" t="s">
        <v>18</v>
      </c>
      <c r="F332" s="1">
        <v>10.31</v>
      </c>
      <c r="G332" s="1">
        <v>6.31</v>
      </c>
      <c r="H332" s="1">
        <v>4.0</v>
      </c>
      <c r="I332" s="1">
        <v>6.83</v>
      </c>
      <c r="J332" s="1">
        <v>1.0</v>
      </c>
      <c r="K332" s="1">
        <v>10.0</v>
      </c>
      <c r="L332" s="1">
        <v>38.4</v>
      </c>
      <c r="M332" s="1">
        <v>73.0</v>
      </c>
      <c r="N332" s="1">
        <v>0.0</v>
      </c>
      <c r="O332" s="1">
        <v>0.0</v>
      </c>
    </row>
    <row r="333">
      <c r="A333" s="1" t="s">
        <v>416</v>
      </c>
      <c r="B333" s="1">
        <v>22.0</v>
      </c>
      <c r="C333" s="1" t="s">
        <v>16</v>
      </c>
      <c r="D333" s="1" t="s">
        <v>17</v>
      </c>
      <c r="E333" s="1" t="s">
        <v>27</v>
      </c>
      <c r="F333" s="1">
        <v>10.6</v>
      </c>
      <c r="G333" s="1">
        <v>1.33</v>
      </c>
      <c r="H333" s="1">
        <v>9.27</v>
      </c>
      <c r="I333" s="1">
        <v>7.3</v>
      </c>
      <c r="J333" s="1">
        <v>2.0</v>
      </c>
      <c r="K333" s="1">
        <v>8.1</v>
      </c>
      <c r="L333" s="1">
        <v>62.5</v>
      </c>
      <c r="M333" s="1">
        <v>88.0</v>
      </c>
      <c r="N333" s="1">
        <v>5.3</v>
      </c>
      <c r="O333" s="1">
        <v>19.1</v>
      </c>
    </row>
    <row r="334">
      <c r="A334" s="1" t="s">
        <v>417</v>
      </c>
      <c r="B334" s="1">
        <v>30.0</v>
      </c>
      <c r="C334" s="1" t="s">
        <v>30</v>
      </c>
      <c r="D334" s="1" t="s">
        <v>32</v>
      </c>
      <c r="E334" s="1" t="s">
        <v>18</v>
      </c>
      <c r="F334" s="1">
        <v>11.1</v>
      </c>
      <c r="G334" s="1">
        <v>3.99</v>
      </c>
      <c r="H334" s="1">
        <v>7.11</v>
      </c>
      <c r="I334" s="1">
        <v>7.92</v>
      </c>
      <c r="J334" s="1">
        <v>3.0</v>
      </c>
      <c r="K334" s="1">
        <v>8.2</v>
      </c>
      <c r="L334" s="1">
        <v>57.4</v>
      </c>
      <c r="M334" s="1">
        <v>225.0</v>
      </c>
      <c r="N334" s="1">
        <v>10.0</v>
      </c>
      <c r="O334" s="1">
        <v>42.3</v>
      </c>
    </row>
    <row r="335">
      <c r="A335" s="1" t="s">
        <v>418</v>
      </c>
      <c r="B335" s="1">
        <v>24.0</v>
      </c>
      <c r="C335" s="1" t="s">
        <v>16</v>
      </c>
      <c r="D335" s="1" t="s">
        <v>17</v>
      </c>
      <c r="E335" s="1" t="s">
        <v>27</v>
      </c>
      <c r="F335" s="1">
        <v>10.12</v>
      </c>
      <c r="G335" s="1">
        <v>2.4</v>
      </c>
      <c r="H335" s="1">
        <v>7.72</v>
      </c>
      <c r="I335" s="1">
        <v>6.67</v>
      </c>
      <c r="J335" s="1">
        <v>1.0</v>
      </c>
      <c r="K335" s="1">
        <v>10.0</v>
      </c>
      <c r="L335" s="1">
        <v>47.5</v>
      </c>
      <c r="M335" s="1">
        <v>2.0</v>
      </c>
      <c r="N335" s="1">
        <v>6.6</v>
      </c>
      <c r="O335" s="1">
        <v>0.0</v>
      </c>
    </row>
    <row r="336">
      <c r="A336" s="1" t="s">
        <v>419</v>
      </c>
      <c r="B336" s="1">
        <v>37.0</v>
      </c>
      <c r="C336" s="1" t="s">
        <v>30</v>
      </c>
      <c r="D336" s="1" t="s">
        <v>17</v>
      </c>
      <c r="E336" s="1" t="s">
        <v>27</v>
      </c>
      <c r="F336" s="1">
        <v>6.85</v>
      </c>
      <c r="G336" s="1">
        <v>0.41</v>
      </c>
      <c r="H336" s="1">
        <v>6.44</v>
      </c>
      <c r="I336" s="1">
        <v>7.62</v>
      </c>
      <c r="J336" s="1">
        <v>2.0</v>
      </c>
      <c r="K336" s="1">
        <v>7.8</v>
      </c>
      <c r="L336" s="1">
        <v>53.8</v>
      </c>
      <c r="M336" s="1">
        <v>259.0</v>
      </c>
      <c r="N336" s="1">
        <v>17.5</v>
      </c>
      <c r="O336" s="1">
        <v>25.1</v>
      </c>
    </row>
    <row r="337">
      <c r="A337" s="1" t="s">
        <v>420</v>
      </c>
      <c r="B337" s="1">
        <v>28.0</v>
      </c>
      <c r="C337" s="1" t="s">
        <v>16</v>
      </c>
      <c r="D337" s="1" t="s">
        <v>17</v>
      </c>
      <c r="E337" s="1" t="s">
        <v>27</v>
      </c>
      <c r="F337" s="1">
        <v>9.72</v>
      </c>
      <c r="G337" s="1">
        <v>0.67</v>
      </c>
      <c r="H337" s="1">
        <v>9.05</v>
      </c>
      <c r="I337" s="1">
        <v>7.95</v>
      </c>
      <c r="J337" s="1">
        <v>1.0</v>
      </c>
      <c r="K337" s="1">
        <v>10.0</v>
      </c>
      <c r="L337" s="1">
        <v>44.8</v>
      </c>
      <c r="M337" s="1">
        <v>152.0</v>
      </c>
      <c r="N337" s="1">
        <v>4.4</v>
      </c>
      <c r="O337" s="1">
        <v>10.4</v>
      </c>
    </row>
    <row r="338">
      <c r="A338" s="1" t="s">
        <v>421</v>
      </c>
      <c r="B338" s="1">
        <v>23.0</v>
      </c>
      <c r="C338" s="1" t="s">
        <v>30</v>
      </c>
      <c r="D338" s="1" t="s">
        <v>17</v>
      </c>
      <c r="E338" s="1" t="s">
        <v>23</v>
      </c>
      <c r="F338" s="1">
        <v>10.6</v>
      </c>
      <c r="G338" s="1">
        <v>2.29</v>
      </c>
      <c r="H338" s="1">
        <v>8.31</v>
      </c>
      <c r="I338" s="1">
        <v>6.63</v>
      </c>
      <c r="J338" s="1">
        <v>1.0</v>
      </c>
      <c r="K338" s="1">
        <v>9.7</v>
      </c>
      <c r="L338" s="1">
        <v>31.4</v>
      </c>
      <c r="M338" s="1">
        <v>120.0</v>
      </c>
      <c r="N338" s="1">
        <v>9.5</v>
      </c>
      <c r="O338" s="1">
        <v>0.0</v>
      </c>
    </row>
    <row r="339">
      <c r="A339" s="1" t="s">
        <v>422</v>
      </c>
      <c r="B339" s="1">
        <v>27.0</v>
      </c>
      <c r="C339" s="1" t="s">
        <v>16</v>
      </c>
      <c r="D339" s="1" t="s">
        <v>17</v>
      </c>
      <c r="E339" s="1" t="s">
        <v>27</v>
      </c>
      <c r="F339" s="1">
        <v>11.54</v>
      </c>
      <c r="G339" s="1">
        <v>0.95</v>
      </c>
      <c r="H339" s="1">
        <v>10.59</v>
      </c>
      <c r="I339" s="1">
        <v>5.58</v>
      </c>
      <c r="J339" s="1">
        <v>1.0</v>
      </c>
      <c r="K339" s="1">
        <v>10.0</v>
      </c>
      <c r="L339" s="1">
        <v>39.1</v>
      </c>
      <c r="M339" s="1">
        <v>18.0</v>
      </c>
      <c r="N339" s="1">
        <v>6.7</v>
      </c>
      <c r="O339" s="1">
        <v>0.0</v>
      </c>
    </row>
    <row r="340">
      <c r="A340" s="1" t="s">
        <v>423</v>
      </c>
      <c r="B340" s="1">
        <v>33.0</v>
      </c>
      <c r="C340" s="1" t="s">
        <v>16</v>
      </c>
      <c r="D340" s="1" t="s">
        <v>32</v>
      </c>
      <c r="E340" s="1" t="s">
        <v>23</v>
      </c>
      <c r="F340" s="1">
        <v>11.28</v>
      </c>
      <c r="G340" s="1">
        <v>2.5</v>
      </c>
      <c r="H340" s="1">
        <v>8.78</v>
      </c>
      <c r="I340" s="1">
        <v>8.45</v>
      </c>
      <c r="J340" s="1">
        <v>3.0</v>
      </c>
      <c r="K340" s="1">
        <v>8.3</v>
      </c>
      <c r="L340" s="1">
        <v>62.5</v>
      </c>
      <c r="M340" s="1">
        <v>132.0</v>
      </c>
      <c r="N340" s="1">
        <v>6.4</v>
      </c>
      <c r="O340" s="1">
        <v>35.4</v>
      </c>
    </row>
    <row r="341">
      <c r="A341" s="1" t="s">
        <v>424</v>
      </c>
      <c r="B341" s="1">
        <v>25.0</v>
      </c>
      <c r="C341" s="1" t="s">
        <v>30</v>
      </c>
      <c r="D341" s="1" t="s">
        <v>32</v>
      </c>
      <c r="E341" s="1" t="s">
        <v>23</v>
      </c>
      <c r="F341" s="1">
        <v>8.89</v>
      </c>
      <c r="G341" s="1">
        <v>0.94</v>
      </c>
      <c r="H341" s="1">
        <v>7.95</v>
      </c>
      <c r="I341" s="1">
        <v>6.64</v>
      </c>
      <c r="J341" s="1">
        <v>1.0</v>
      </c>
      <c r="K341" s="1">
        <v>8.8</v>
      </c>
      <c r="L341" s="1">
        <v>46.3</v>
      </c>
      <c r="M341" s="1">
        <v>52.0</v>
      </c>
      <c r="N341" s="1">
        <v>8.1</v>
      </c>
      <c r="O341" s="1">
        <v>10.3</v>
      </c>
    </row>
    <row r="342">
      <c r="A342" s="1" t="s">
        <v>425</v>
      </c>
      <c r="B342" s="1">
        <v>23.0</v>
      </c>
      <c r="C342" s="1" t="s">
        <v>16</v>
      </c>
      <c r="D342" s="1" t="s">
        <v>17</v>
      </c>
      <c r="E342" s="1" t="s">
        <v>18</v>
      </c>
      <c r="F342" s="1">
        <v>9.14</v>
      </c>
      <c r="G342" s="1">
        <v>2.87</v>
      </c>
      <c r="H342" s="1">
        <v>6.27</v>
      </c>
      <c r="I342" s="1">
        <v>7.09</v>
      </c>
      <c r="J342" s="1">
        <v>1.0</v>
      </c>
      <c r="K342" s="1">
        <v>9.9</v>
      </c>
      <c r="L342" s="1">
        <v>38.4</v>
      </c>
      <c r="M342" s="1">
        <v>188.0</v>
      </c>
      <c r="N342" s="1">
        <v>4.7</v>
      </c>
      <c r="O342" s="1">
        <v>6.2</v>
      </c>
    </row>
    <row r="343">
      <c r="A343" s="1" t="s">
        <v>426</v>
      </c>
      <c r="B343" s="1">
        <v>31.0</v>
      </c>
      <c r="C343" s="1" t="s">
        <v>16</v>
      </c>
      <c r="D343" s="1" t="s">
        <v>17</v>
      </c>
      <c r="E343" s="1" t="s">
        <v>23</v>
      </c>
      <c r="F343" s="1">
        <v>9.43</v>
      </c>
      <c r="G343" s="1">
        <v>0.47</v>
      </c>
      <c r="H343" s="1">
        <v>8.96</v>
      </c>
      <c r="I343" s="1">
        <v>7.92</v>
      </c>
      <c r="J343" s="1">
        <v>1.0</v>
      </c>
      <c r="K343" s="1">
        <v>8.6</v>
      </c>
      <c r="L343" s="1">
        <v>54.5</v>
      </c>
      <c r="M343" s="1">
        <v>34.0</v>
      </c>
      <c r="N343" s="1">
        <v>10.8</v>
      </c>
      <c r="O343" s="1">
        <v>10.6</v>
      </c>
    </row>
    <row r="344">
      <c r="A344" s="1" t="s">
        <v>427</v>
      </c>
      <c r="B344" s="1">
        <v>31.0</v>
      </c>
      <c r="C344" s="1" t="s">
        <v>30</v>
      </c>
      <c r="D344" s="1" t="s">
        <v>17</v>
      </c>
      <c r="E344" s="1" t="s">
        <v>18</v>
      </c>
      <c r="F344" s="1">
        <v>4.96</v>
      </c>
      <c r="G344" s="1">
        <v>2.68</v>
      </c>
      <c r="H344" s="1">
        <v>2.28</v>
      </c>
      <c r="I344" s="1">
        <v>7.18</v>
      </c>
      <c r="J344" s="1">
        <v>1.0</v>
      </c>
      <c r="K344" s="1">
        <v>8.2</v>
      </c>
      <c r="L344" s="1">
        <v>57.1</v>
      </c>
      <c r="M344" s="1">
        <v>121.0</v>
      </c>
      <c r="N344" s="1">
        <v>1.4</v>
      </c>
      <c r="O344" s="1">
        <v>32.8</v>
      </c>
    </row>
    <row r="345">
      <c r="A345" s="1" t="s">
        <v>428</v>
      </c>
      <c r="B345" s="1">
        <v>25.0</v>
      </c>
      <c r="C345" s="1" t="s">
        <v>30</v>
      </c>
      <c r="D345" s="1" t="s">
        <v>17</v>
      </c>
      <c r="E345" s="1" t="s">
        <v>23</v>
      </c>
      <c r="F345" s="1">
        <v>4.48</v>
      </c>
      <c r="G345" s="1">
        <v>1.11</v>
      </c>
      <c r="H345" s="1">
        <v>3.37</v>
      </c>
      <c r="I345" s="1">
        <v>6.87</v>
      </c>
      <c r="J345" s="1">
        <v>1.0</v>
      </c>
      <c r="K345" s="1">
        <v>5.3</v>
      </c>
      <c r="L345" s="1">
        <v>67.1</v>
      </c>
      <c r="M345" s="1">
        <v>90.0</v>
      </c>
      <c r="N345" s="1">
        <v>4.8</v>
      </c>
      <c r="O345" s="1">
        <v>34.0</v>
      </c>
    </row>
    <row r="346">
      <c r="A346" s="1" t="s">
        <v>429</v>
      </c>
      <c r="B346" s="1">
        <v>26.0</v>
      </c>
      <c r="C346" s="1" t="s">
        <v>16</v>
      </c>
      <c r="D346" s="1" t="s">
        <v>17</v>
      </c>
      <c r="E346" s="1" t="s">
        <v>27</v>
      </c>
      <c r="F346" s="1">
        <v>6.34</v>
      </c>
      <c r="G346" s="1">
        <v>0.78</v>
      </c>
      <c r="H346" s="1">
        <v>5.56</v>
      </c>
      <c r="I346" s="1">
        <v>7.61</v>
      </c>
      <c r="J346" s="1">
        <v>2.0</v>
      </c>
      <c r="K346" s="1">
        <v>6.8</v>
      </c>
      <c r="L346" s="1">
        <v>67.5</v>
      </c>
      <c r="M346" s="1">
        <v>49.0</v>
      </c>
      <c r="N346" s="1">
        <v>7.0</v>
      </c>
      <c r="O346" s="1">
        <v>33.6</v>
      </c>
    </row>
    <row r="347">
      <c r="A347" s="1" t="s">
        <v>430</v>
      </c>
      <c r="B347" s="1">
        <v>31.0</v>
      </c>
      <c r="C347" s="1" t="s">
        <v>16</v>
      </c>
      <c r="D347" s="1" t="s">
        <v>35</v>
      </c>
      <c r="E347" s="1" t="s">
        <v>23</v>
      </c>
      <c r="F347" s="1">
        <v>10.42</v>
      </c>
      <c r="G347" s="1">
        <v>2.58</v>
      </c>
      <c r="H347" s="1">
        <v>7.84</v>
      </c>
      <c r="I347" s="1">
        <v>5.41</v>
      </c>
      <c r="J347" s="1">
        <v>1.0</v>
      </c>
      <c r="K347" s="1">
        <v>10.0</v>
      </c>
      <c r="L347" s="1">
        <v>58.2</v>
      </c>
      <c r="M347" s="1">
        <v>148.0</v>
      </c>
      <c r="N347" s="1">
        <v>15.3</v>
      </c>
      <c r="O347" s="1">
        <v>4.9</v>
      </c>
    </row>
    <row r="348">
      <c r="A348" s="1" t="s">
        <v>431</v>
      </c>
      <c r="B348" s="1">
        <v>18.0</v>
      </c>
      <c r="C348" s="1" t="s">
        <v>30</v>
      </c>
      <c r="D348" s="1" t="s">
        <v>17</v>
      </c>
      <c r="E348" s="1" t="s">
        <v>23</v>
      </c>
      <c r="F348" s="1">
        <v>6.85</v>
      </c>
      <c r="G348" s="1">
        <v>0.44</v>
      </c>
      <c r="H348" s="1">
        <v>6.41</v>
      </c>
      <c r="I348" s="1">
        <v>7.02</v>
      </c>
      <c r="J348" s="1">
        <v>1.0</v>
      </c>
      <c r="K348" s="1">
        <v>9.0</v>
      </c>
      <c r="L348" s="1">
        <v>58.6</v>
      </c>
      <c r="M348" s="1">
        <v>148.0</v>
      </c>
      <c r="N348" s="1">
        <v>9.6</v>
      </c>
      <c r="O348" s="1">
        <v>15.6</v>
      </c>
    </row>
    <row r="349">
      <c r="A349" s="1" t="s">
        <v>432</v>
      </c>
      <c r="B349" s="1">
        <v>18.0</v>
      </c>
      <c r="C349" s="1" t="s">
        <v>16</v>
      </c>
      <c r="D349" s="1" t="s">
        <v>32</v>
      </c>
      <c r="E349" s="1" t="s">
        <v>23</v>
      </c>
      <c r="F349" s="1">
        <v>9.39</v>
      </c>
      <c r="G349" s="1">
        <v>1.37</v>
      </c>
      <c r="H349" s="1">
        <v>8.02</v>
      </c>
      <c r="I349" s="1">
        <v>7.07</v>
      </c>
      <c r="J349" s="1">
        <v>1.0</v>
      </c>
      <c r="K349" s="1">
        <v>7.4</v>
      </c>
      <c r="L349" s="1">
        <v>61.3</v>
      </c>
      <c r="M349" s="1">
        <v>180.0</v>
      </c>
      <c r="N349" s="1">
        <v>7.5</v>
      </c>
      <c r="O349" s="1">
        <v>28.5</v>
      </c>
    </row>
    <row r="350">
      <c r="A350" s="1" t="s">
        <v>433</v>
      </c>
      <c r="B350" s="1">
        <v>24.0</v>
      </c>
      <c r="C350" s="1" t="s">
        <v>16</v>
      </c>
      <c r="D350" s="1" t="s">
        <v>17</v>
      </c>
      <c r="E350" s="1" t="s">
        <v>23</v>
      </c>
      <c r="F350" s="1">
        <v>6.67</v>
      </c>
      <c r="G350" s="1">
        <v>0.53</v>
      </c>
      <c r="H350" s="1">
        <v>6.14</v>
      </c>
      <c r="I350" s="1">
        <v>7.12</v>
      </c>
      <c r="J350" s="1">
        <v>1.0</v>
      </c>
      <c r="K350" s="1">
        <v>8.0</v>
      </c>
      <c r="L350" s="1">
        <v>58.6</v>
      </c>
      <c r="M350" s="1">
        <v>0.0</v>
      </c>
      <c r="N350" s="1">
        <v>3.5</v>
      </c>
      <c r="O350" s="1">
        <v>23.4</v>
      </c>
    </row>
    <row r="351">
      <c r="A351" s="1" t="s">
        <v>434</v>
      </c>
      <c r="B351" s="1">
        <v>28.0</v>
      </c>
      <c r="C351" s="1" t="s">
        <v>16</v>
      </c>
      <c r="D351" s="1" t="s">
        <v>32</v>
      </c>
      <c r="E351" s="1" t="s">
        <v>18</v>
      </c>
      <c r="F351" s="1">
        <v>10.19</v>
      </c>
      <c r="G351" s="1">
        <v>5.48</v>
      </c>
      <c r="H351" s="1">
        <v>4.71</v>
      </c>
      <c r="I351" s="1">
        <v>5.62</v>
      </c>
      <c r="J351" s="1">
        <v>1.0</v>
      </c>
      <c r="K351" s="1">
        <v>10.0</v>
      </c>
      <c r="L351" s="1">
        <v>43.7</v>
      </c>
      <c r="M351" s="1">
        <v>170.0</v>
      </c>
      <c r="N351" s="1">
        <v>8.1</v>
      </c>
      <c r="O351" s="1">
        <v>0.0</v>
      </c>
    </row>
    <row r="352">
      <c r="A352" s="1" t="s">
        <v>435</v>
      </c>
      <c r="B352" s="1">
        <v>32.0</v>
      </c>
      <c r="C352" s="1" t="s">
        <v>30</v>
      </c>
      <c r="D352" s="1" t="s">
        <v>32</v>
      </c>
      <c r="E352" s="1" t="s">
        <v>18</v>
      </c>
      <c r="F352" s="1">
        <v>13.59</v>
      </c>
      <c r="G352" s="1">
        <v>5.85</v>
      </c>
      <c r="H352" s="1">
        <v>7.74</v>
      </c>
      <c r="I352" s="1">
        <v>7.66</v>
      </c>
      <c r="J352" s="1">
        <v>1.0</v>
      </c>
      <c r="K352" s="1">
        <v>10.0</v>
      </c>
      <c r="L352" s="1">
        <v>23.2</v>
      </c>
      <c r="M352" s="1">
        <v>253.0</v>
      </c>
      <c r="N352" s="1">
        <v>6.0</v>
      </c>
      <c r="O352" s="1">
        <v>0.0</v>
      </c>
    </row>
    <row r="353">
      <c r="A353" s="1" t="s">
        <v>436</v>
      </c>
      <c r="B353" s="1">
        <v>41.0</v>
      </c>
      <c r="C353" s="1" t="s">
        <v>30</v>
      </c>
      <c r="D353" s="1" t="s">
        <v>37</v>
      </c>
      <c r="E353" s="1" t="s">
        <v>27</v>
      </c>
      <c r="F353" s="1">
        <v>1.32</v>
      </c>
      <c r="G353" s="1">
        <v>0.17</v>
      </c>
      <c r="H353" s="1">
        <v>1.15</v>
      </c>
      <c r="I353" s="1">
        <v>8.39</v>
      </c>
      <c r="J353" s="1">
        <v>2.0</v>
      </c>
      <c r="K353" s="1">
        <v>0.2</v>
      </c>
      <c r="L353" s="1">
        <v>97.1</v>
      </c>
      <c r="M353" s="1">
        <v>124.0</v>
      </c>
      <c r="N353" s="1">
        <v>13.4</v>
      </c>
      <c r="O353" s="1">
        <v>84.4</v>
      </c>
    </row>
    <row r="354">
      <c r="A354" s="1" t="s">
        <v>437</v>
      </c>
      <c r="B354" s="1">
        <v>36.0</v>
      </c>
      <c r="C354" s="1" t="s">
        <v>16</v>
      </c>
      <c r="D354" s="1" t="s">
        <v>32</v>
      </c>
      <c r="E354" s="1" t="s">
        <v>18</v>
      </c>
      <c r="F354" s="1">
        <v>14.02</v>
      </c>
      <c r="G354" s="1">
        <v>7.36</v>
      </c>
      <c r="H354" s="1">
        <v>6.66</v>
      </c>
      <c r="I354" s="1">
        <v>7.5</v>
      </c>
      <c r="J354" s="1">
        <v>1.0</v>
      </c>
      <c r="K354" s="1">
        <v>10.0</v>
      </c>
      <c r="L354" s="1">
        <v>34.1</v>
      </c>
      <c r="M354" s="1">
        <v>210.0</v>
      </c>
      <c r="N354" s="1">
        <v>1.8</v>
      </c>
      <c r="O354" s="1">
        <v>5.2</v>
      </c>
    </row>
    <row r="355">
      <c r="A355" s="1" t="s">
        <v>438</v>
      </c>
      <c r="B355" s="1">
        <v>28.0</v>
      </c>
      <c r="C355" s="1" t="s">
        <v>16</v>
      </c>
      <c r="D355" s="1" t="s">
        <v>17</v>
      </c>
      <c r="E355" s="1" t="s">
        <v>27</v>
      </c>
      <c r="F355" s="1">
        <v>7.06</v>
      </c>
      <c r="G355" s="1">
        <v>1.54</v>
      </c>
      <c r="H355" s="1">
        <v>5.52</v>
      </c>
      <c r="I355" s="1">
        <v>7.11</v>
      </c>
      <c r="J355" s="1">
        <v>1.0</v>
      </c>
      <c r="K355" s="1">
        <v>9.1</v>
      </c>
      <c r="L355" s="1">
        <v>39.8</v>
      </c>
      <c r="M355" s="1">
        <v>96.0</v>
      </c>
      <c r="N355" s="1">
        <v>5.6</v>
      </c>
      <c r="O355" s="1">
        <v>5.6</v>
      </c>
    </row>
    <row r="356">
      <c r="A356" s="1" t="s">
        <v>439</v>
      </c>
      <c r="B356" s="1">
        <v>29.0</v>
      </c>
      <c r="C356" s="1" t="s">
        <v>16</v>
      </c>
      <c r="D356" s="1" t="s">
        <v>17</v>
      </c>
      <c r="E356" s="1" t="s">
        <v>27</v>
      </c>
      <c r="F356" s="1">
        <v>9.87</v>
      </c>
      <c r="G356" s="1">
        <v>2.41</v>
      </c>
      <c r="H356" s="1">
        <v>7.46</v>
      </c>
      <c r="I356" s="1">
        <v>6.21</v>
      </c>
      <c r="J356" s="1">
        <v>1.0</v>
      </c>
      <c r="K356" s="1">
        <v>8.8</v>
      </c>
      <c r="L356" s="1">
        <v>41.1</v>
      </c>
      <c r="M356" s="1">
        <v>2.0</v>
      </c>
      <c r="N356" s="1">
        <v>7.1</v>
      </c>
      <c r="O356" s="1">
        <v>8.5</v>
      </c>
    </row>
    <row r="357">
      <c r="A357" s="1" t="s">
        <v>440</v>
      </c>
      <c r="B357" s="1">
        <v>21.0</v>
      </c>
      <c r="C357" s="1" t="s">
        <v>30</v>
      </c>
      <c r="D357" s="1" t="s">
        <v>17</v>
      </c>
      <c r="E357" s="1" t="s">
        <v>23</v>
      </c>
      <c r="F357" s="1">
        <v>6.97</v>
      </c>
      <c r="G357" s="1">
        <v>0.35</v>
      </c>
      <c r="H357" s="1">
        <v>6.62</v>
      </c>
      <c r="I357" s="1">
        <v>7.48</v>
      </c>
      <c r="J357" s="1">
        <v>1.0</v>
      </c>
      <c r="K357" s="1">
        <v>7.1</v>
      </c>
      <c r="L357" s="1">
        <v>47.3</v>
      </c>
      <c r="M357" s="1">
        <v>90.0</v>
      </c>
      <c r="N357" s="1">
        <v>6.5</v>
      </c>
      <c r="O357" s="1">
        <v>13.6</v>
      </c>
    </row>
    <row r="358">
      <c r="A358" s="1" t="s">
        <v>441</v>
      </c>
      <c r="B358" s="1">
        <v>29.0</v>
      </c>
      <c r="C358" s="1" t="s">
        <v>16</v>
      </c>
      <c r="D358" s="1" t="s">
        <v>17</v>
      </c>
      <c r="E358" s="1" t="s">
        <v>27</v>
      </c>
      <c r="F358" s="1">
        <v>12.02</v>
      </c>
      <c r="G358" s="1">
        <v>2.21</v>
      </c>
      <c r="H358" s="1">
        <v>9.81</v>
      </c>
      <c r="I358" s="1">
        <v>6.41</v>
      </c>
      <c r="J358" s="1">
        <v>1.0</v>
      </c>
      <c r="K358" s="1">
        <v>10.0</v>
      </c>
      <c r="L358" s="1">
        <v>39.7</v>
      </c>
      <c r="M358" s="1">
        <v>159.0</v>
      </c>
      <c r="N358" s="1">
        <v>11.7</v>
      </c>
      <c r="O358" s="1">
        <v>12.0</v>
      </c>
    </row>
    <row r="359">
      <c r="A359" s="1" t="s">
        <v>442</v>
      </c>
      <c r="B359" s="1">
        <v>27.0</v>
      </c>
      <c r="C359" s="1" t="s">
        <v>16</v>
      </c>
      <c r="D359" s="1" t="s">
        <v>32</v>
      </c>
      <c r="E359" s="1" t="s">
        <v>23</v>
      </c>
      <c r="F359" s="1">
        <v>6.9</v>
      </c>
      <c r="G359" s="1">
        <v>0.77</v>
      </c>
      <c r="H359" s="1">
        <v>6.13</v>
      </c>
      <c r="I359" s="1">
        <v>6.39</v>
      </c>
      <c r="J359" s="1">
        <v>1.0</v>
      </c>
      <c r="K359" s="1">
        <v>7.4</v>
      </c>
      <c r="L359" s="1">
        <v>63.0</v>
      </c>
      <c r="M359" s="1">
        <v>56.0</v>
      </c>
      <c r="N359" s="1">
        <v>1.5</v>
      </c>
      <c r="O359" s="1">
        <v>28.3</v>
      </c>
    </row>
    <row r="360">
      <c r="A360" s="1" t="s">
        <v>443</v>
      </c>
      <c r="B360" s="1">
        <v>32.0</v>
      </c>
      <c r="C360" s="1" t="s">
        <v>30</v>
      </c>
      <c r="D360" s="1" t="s">
        <v>17</v>
      </c>
      <c r="E360" s="1" t="s">
        <v>18</v>
      </c>
      <c r="F360" s="1">
        <v>5.74</v>
      </c>
      <c r="G360" s="1">
        <v>1.57</v>
      </c>
      <c r="H360" s="1">
        <v>4.17</v>
      </c>
      <c r="I360" s="1">
        <v>8.73</v>
      </c>
      <c r="J360" s="1">
        <v>2.0</v>
      </c>
      <c r="K360" s="1">
        <v>4.3</v>
      </c>
      <c r="L360" s="1">
        <v>84.8</v>
      </c>
      <c r="M360" s="1">
        <v>83.0</v>
      </c>
      <c r="N360" s="1">
        <v>12.2</v>
      </c>
      <c r="O360" s="1">
        <v>47.2</v>
      </c>
    </row>
    <row r="361">
      <c r="A361" s="1" t="s">
        <v>444</v>
      </c>
      <c r="B361" s="1">
        <v>23.0</v>
      </c>
      <c r="C361" s="1" t="s">
        <v>16</v>
      </c>
      <c r="D361" s="1" t="s">
        <v>17</v>
      </c>
      <c r="E361" s="1" t="s">
        <v>23</v>
      </c>
      <c r="F361" s="1">
        <v>10.97</v>
      </c>
      <c r="G361" s="1">
        <v>1.43</v>
      </c>
      <c r="H361" s="1">
        <v>9.54</v>
      </c>
      <c r="I361" s="1">
        <v>6.19</v>
      </c>
      <c r="J361" s="1">
        <v>1.0</v>
      </c>
      <c r="K361" s="1">
        <v>9.5</v>
      </c>
      <c r="L361" s="1">
        <v>46.0</v>
      </c>
      <c r="M361" s="1">
        <v>130.0</v>
      </c>
      <c r="N361" s="1">
        <v>12.3</v>
      </c>
      <c r="O361" s="1">
        <v>0.4</v>
      </c>
    </row>
    <row r="362">
      <c r="A362" s="1" t="s">
        <v>445</v>
      </c>
      <c r="B362" s="1">
        <v>34.0</v>
      </c>
      <c r="C362" s="1" t="s">
        <v>30</v>
      </c>
      <c r="D362" s="1" t="s">
        <v>32</v>
      </c>
      <c r="E362" s="1" t="s">
        <v>23</v>
      </c>
      <c r="F362" s="1">
        <v>10.24</v>
      </c>
      <c r="G362" s="1">
        <v>0.51</v>
      </c>
      <c r="H362" s="1">
        <v>9.73</v>
      </c>
      <c r="I362" s="1">
        <v>5.43</v>
      </c>
      <c r="J362" s="1">
        <v>1.0</v>
      </c>
      <c r="K362" s="1">
        <v>10.0</v>
      </c>
      <c r="L362" s="1">
        <v>36.9</v>
      </c>
      <c r="M362" s="1">
        <v>99.0</v>
      </c>
      <c r="N362" s="1">
        <v>6.6</v>
      </c>
      <c r="O362" s="1">
        <v>0.0</v>
      </c>
    </row>
    <row r="363">
      <c r="A363" s="1" t="s">
        <v>446</v>
      </c>
      <c r="B363" s="1">
        <v>42.0</v>
      </c>
      <c r="C363" s="1" t="s">
        <v>16</v>
      </c>
      <c r="D363" s="1" t="s">
        <v>17</v>
      </c>
      <c r="E363" s="1" t="s">
        <v>27</v>
      </c>
      <c r="F363" s="1">
        <v>6.26</v>
      </c>
      <c r="G363" s="1">
        <v>0.94</v>
      </c>
      <c r="H363" s="1">
        <v>5.32</v>
      </c>
      <c r="I363" s="1">
        <v>8.64</v>
      </c>
      <c r="J363" s="1">
        <v>2.0</v>
      </c>
      <c r="K363" s="1">
        <v>3.8</v>
      </c>
      <c r="L363" s="1">
        <v>67.8</v>
      </c>
      <c r="M363" s="1">
        <v>167.0</v>
      </c>
      <c r="N363" s="1">
        <v>2.7</v>
      </c>
      <c r="O363" s="1">
        <v>57.1</v>
      </c>
    </row>
    <row r="364">
      <c r="A364" s="1" t="s">
        <v>447</v>
      </c>
      <c r="B364" s="1">
        <v>29.0</v>
      </c>
      <c r="C364" s="1" t="s">
        <v>16</v>
      </c>
      <c r="D364" s="1" t="s">
        <v>32</v>
      </c>
      <c r="E364" s="1" t="s">
        <v>27</v>
      </c>
      <c r="F364" s="1">
        <v>11.49</v>
      </c>
      <c r="G364" s="1">
        <v>0.75</v>
      </c>
      <c r="H364" s="1">
        <v>10.74</v>
      </c>
      <c r="I364" s="1">
        <v>6.26</v>
      </c>
      <c r="J364" s="1">
        <v>1.0</v>
      </c>
      <c r="K364" s="1">
        <v>10.0</v>
      </c>
      <c r="L364" s="1">
        <v>30.2</v>
      </c>
      <c r="M364" s="1">
        <v>105.0</v>
      </c>
      <c r="N364" s="1">
        <v>7.6</v>
      </c>
      <c r="O364" s="1">
        <v>0.0</v>
      </c>
    </row>
    <row r="365">
      <c r="A365" s="1" t="s">
        <v>448</v>
      </c>
      <c r="B365" s="1">
        <v>33.0</v>
      </c>
      <c r="C365" s="1" t="s">
        <v>16</v>
      </c>
      <c r="D365" s="1" t="s">
        <v>32</v>
      </c>
      <c r="E365" s="1" t="s">
        <v>23</v>
      </c>
      <c r="F365" s="1">
        <v>10.39</v>
      </c>
      <c r="G365" s="1">
        <v>0.52</v>
      </c>
      <c r="H365" s="1">
        <v>9.87</v>
      </c>
      <c r="I365" s="1">
        <v>6.39</v>
      </c>
      <c r="J365" s="1">
        <v>1.0</v>
      </c>
      <c r="K365" s="1">
        <v>10.0</v>
      </c>
      <c r="L365" s="1">
        <v>34.8</v>
      </c>
      <c r="M365" s="1">
        <v>131.0</v>
      </c>
      <c r="N365" s="1">
        <v>8.3</v>
      </c>
      <c r="O365" s="1">
        <v>0.0</v>
      </c>
    </row>
    <row r="366">
      <c r="A366" s="1" t="s">
        <v>449</v>
      </c>
      <c r="B366" s="1">
        <v>35.0</v>
      </c>
      <c r="C366" s="1" t="s">
        <v>30</v>
      </c>
      <c r="D366" s="1" t="s">
        <v>17</v>
      </c>
      <c r="E366" s="1" t="s">
        <v>18</v>
      </c>
      <c r="F366" s="1">
        <v>8.72</v>
      </c>
      <c r="G366" s="1">
        <v>2.36</v>
      </c>
      <c r="H366" s="1">
        <v>6.36</v>
      </c>
      <c r="I366" s="1">
        <v>5.73</v>
      </c>
      <c r="J366" s="1">
        <v>1.0</v>
      </c>
      <c r="K366" s="1">
        <v>10.0</v>
      </c>
      <c r="L366" s="1">
        <v>39.6</v>
      </c>
      <c r="M366" s="1">
        <v>78.0</v>
      </c>
      <c r="N366" s="1">
        <v>6.7</v>
      </c>
      <c r="O366" s="1">
        <v>3.3</v>
      </c>
    </row>
    <row r="367">
      <c r="A367" s="1" t="s">
        <v>450</v>
      </c>
      <c r="B367" s="1">
        <v>26.0</v>
      </c>
      <c r="C367" s="1" t="s">
        <v>30</v>
      </c>
      <c r="D367" s="1" t="s">
        <v>32</v>
      </c>
      <c r="E367" s="1" t="s">
        <v>18</v>
      </c>
      <c r="F367" s="1">
        <v>11.58</v>
      </c>
      <c r="G367" s="1">
        <v>5.71</v>
      </c>
      <c r="H367" s="1">
        <v>5.87</v>
      </c>
      <c r="I367" s="1">
        <v>8.02</v>
      </c>
      <c r="J367" s="1">
        <v>3.0</v>
      </c>
      <c r="K367" s="1">
        <v>9.9</v>
      </c>
      <c r="L367" s="1">
        <v>52.1</v>
      </c>
      <c r="M367" s="1">
        <v>103.0</v>
      </c>
      <c r="N367" s="1">
        <v>5.7</v>
      </c>
      <c r="O367" s="1">
        <v>22.3</v>
      </c>
    </row>
    <row r="368">
      <c r="A368" s="1" t="s">
        <v>451</v>
      </c>
      <c r="B368" s="1">
        <v>31.0</v>
      </c>
      <c r="C368" s="1" t="s">
        <v>30</v>
      </c>
      <c r="D368" s="1" t="s">
        <v>17</v>
      </c>
      <c r="E368" s="1" t="s">
        <v>27</v>
      </c>
      <c r="F368" s="1">
        <v>7.73</v>
      </c>
      <c r="G368" s="1">
        <v>1.52</v>
      </c>
      <c r="H368" s="1">
        <v>6.21</v>
      </c>
      <c r="I368" s="1">
        <v>6.22</v>
      </c>
      <c r="J368" s="1">
        <v>1.0</v>
      </c>
      <c r="K368" s="1">
        <v>7.1</v>
      </c>
      <c r="L368" s="1">
        <v>51.9</v>
      </c>
      <c r="M368" s="1">
        <v>47.0</v>
      </c>
      <c r="N368" s="1">
        <v>16.4</v>
      </c>
      <c r="O368" s="1">
        <v>20.7</v>
      </c>
    </row>
    <row r="369">
      <c r="A369" s="1" t="s">
        <v>452</v>
      </c>
      <c r="B369" s="1">
        <v>30.0</v>
      </c>
      <c r="C369" s="1" t="s">
        <v>16</v>
      </c>
      <c r="D369" s="1" t="s">
        <v>17</v>
      </c>
      <c r="E369" s="1" t="s">
        <v>18</v>
      </c>
      <c r="F369" s="1">
        <v>11.64</v>
      </c>
      <c r="G369" s="1">
        <v>6.11</v>
      </c>
      <c r="H369" s="1">
        <v>5.53</v>
      </c>
      <c r="I369" s="1">
        <v>6.7</v>
      </c>
      <c r="J369" s="1">
        <v>2.0</v>
      </c>
      <c r="K369" s="1">
        <v>10.0</v>
      </c>
      <c r="L369" s="1">
        <v>48.6</v>
      </c>
      <c r="M369" s="1">
        <v>178.0</v>
      </c>
      <c r="N369" s="1">
        <v>2.0</v>
      </c>
      <c r="O369" s="1">
        <v>8.2</v>
      </c>
    </row>
    <row r="370">
      <c r="A370" s="1" t="s">
        <v>453</v>
      </c>
      <c r="B370" s="1">
        <v>30.0</v>
      </c>
      <c r="C370" s="1" t="s">
        <v>30</v>
      </c>
      <c r="D370" s="1" t="s">
        <v>35</v>
      </c>
      <c r="E370" s="1" t="s">
        <v>18</v>
      </c>
      <c r="F370" s="1">
        <v>8.06</v>
      </c>
      <c r="G370" s="1">
        <v>2.81</v>
      </c>
      <c r="H370" s="1">
        <v>5.25</v>
      </c>
      <c r="I370" s="1">
        <v>7.92</v>
      </c>
      <c r="J370" s="1">
        <v>2.0</v>
      </c>
      <c r="K370" s="1">
        <v>6.8</v>
      </c>
      <c r="L370" s="1">
        <v>63.3</v>
      </c>
      <c r="M370" s="1">
        <v>65.0</v>
      </c>
      <c r="N370" s="1">
        <v>0.0</v>
      </c>
      <c r="O370" s="1">
        <v>37.3</v>
      </c>
    </row>
    <row r="371">
      <c r="A371" s="1" t="s">
        <v>454</v>
      </c>
      <c r="B371" s="1">
        <v>23.0</v>
      </c>
      <c r="C371" s="1" t="s">
        <v>16</v>
      </c>
      <c r="D371" s="1" t="s">
        <v>32</v>
      </c>
      <c r="E371" s="1" t="s">
        <v>18</v>
      </c>
      <c r="F371" s="1">
        <v>9.05</v>
      </c>
      <c r="G371" s="1">
        <v>3.83</v>
      </c>
      <c r="H371" s="1">
        <v>5.22</v>
      </c>
      <c r="I371" s="1">
        <v>7.31</v>
      </c>
      <c r="J371" s="1">
        <v>1.0</v>
      </c>
      <c r="K371" s="1">
        <v>7.4</v>
      </c>
      <c r="L371" s="1">
        <v>54.9</v>
      </c>
      <c r="M371" s="1">
        <v>179.0</v>
      </c>
      <c r="N371" s="1">
        <v>9.5</v>
      </c>
      <c r="O371" s="1">
        <v>18.5</v>
      </c>
    </row>
    <row r="372">
      <c r="A372" s="1" t="s">
        <v>455</v>
      </c>
      <c r="B372" s="1">
        <v>30.0</v>
      </c>
      <c r="C372" s="1" t="s">
        <v>16</v>
      </c>
      <c r="D372" s="1" t="s">
        <v>32</v>
      </c>
      <c r="E372" s="1" t="s">
        <v>18</v>
      </c>
      <c r="F372" s="1">
        <v>12.03</v>
      </c>
      <c r="G372" s="1">
        <v>4.84</v>
      </c>
      <c r="H372" s="1">
        <v>7.19</v>
      </c>
      <c r="I372" s="1">
        <v>6.55</v>
      </c>
      <c r="J372" s="1">
        <v>1.0</v>
      </c>
      <c r="K372" s="1">
        <v>10.0</v>
      </c>
      <c r="L372" s="1">
        <v>46.8</v>
      </c>
      <c r="M372" s="1">
        <v>69.0</v>
      </c>
      <c r="N372" s="1">
        <v>13.9</v>
      </c>
      <c r="O372" s="1">
        <v>1.2</v>
      </c>
    </row>
    <row r="373">
      <c r="A373" s="1" t="s">
        <v>456</v>
      </c>
      <c r="B373" s="1">
        <v>33.0</v>
      </c>
      <c r="C373" s="1" t="s">
        <v>30</v>
      </c>
      <c r="D373" s="1" t="s">
        <v>32</v>
      </c>
      <c r="E373" s="1" t="s">
        <v>18</v>
      </c>
      <c r="F373" s="1">
        <v>11.21</v>
      </c>
      <c r="G373" s="1">
        <v>4.81</v>
      </c>
      <c r="H373" s="1">
        <v>6.4</v>
      </c>
      <c r="I373" s="1">
        <v>5.39</v>
      </c>
      <c r="J373" s="1">
        <v>1.0</v>
      </c>
      <c r="K373" s="1">
        <v>10.0</v>
      </c>
      <c r="L373" s="1">
        <v>34.1</v>
      </c>
      <c r="M373" s="1">
        <v>106.0</v>
      </c>
      <c r="N373" s="1">
        <v>7.9</v>
      </c>
      <c r="O373" s="1">
        <v>0.5</v>
      </c>
    </row>
    <row r="374">
      <c r="A374" s="1" t="s">
        <v>457</v>
      </c>
      <c r="B374" s="1">
        <v>41.0</v>
      </c>
      <c r="C374" s="1" t="s">
        <v>16</v>
      </c>
      <c r="D374" s="1" t="s">
        <v>17</v>
      </c>
      <c r="E374" s="1" t="s">
        <v>23</v>
      </c>
      <c r="F374" s="1">
        <v>10.37</v>
      </c>
      <c r="G374" s="1">
        <v>0.81</v>
      </c>
      <c r="H374" s="1">
        <v>9.56</v>
      </c>
      <c r="I374" s="1">
        <v>6.31</v>
      </c>
      <c r="J374" s="1">
        <v>1.0</v>
      </c>
      <c r="K374" s="1">
        <v>10.0</v>
      </c>
      <c r="L374" s="1">
        <v>45.0</v>
      </c>
      <c r="M374" s="1">
        <v>67.0</v>
      </c>
      <c r="N374" s="1">
        <v>1.8</v>
      </c>
      <c r="O374" s="1">
        <v>3.0</v>
      </c>
    </row>
    <row r="375">
      <c r="A375" s="1" t="s">
        <v>458</v>
      </c>
      <c r="B375" s="1">
        <v>37.0</v>
      </c>
      <c r="C375" s="1" t="s">
        <v>16</v>
      </c>
      <c r="D375" s="1" t="s">
        <v>17</v>
      </c>
      <c r="E375" s="1" t="s">
        <v>27</v>
      </c>
      <c r="F375" s="1">
        <v>5.98</v>
      </c>
      <c r="G375" s="1">
        <v>0.5</v>
      </c>
      <c r="H375" s="1">
        <v>5.48</v>
      </c>
      <c r="I375" s="1">
        <v>7.72</v>
      </c>
      <c r="J375" s="1">
        <v>2.0</v>
      </c>
      <c r="K375" s="1">
        <v>5.6</v>
      </c>
      <c r="L375" s="1">
        <v>72.5</v>
      </c>
      <c r="M375" s="1">
        <v>55.0</v>
      </c>
      <c r="N375" s="1">
        <v>5.0</v>
      </c>
      <c r="O375" s="1">
        <v>43.3</v>
      </c>
    </row>
    <row r="376">
      <c r="A376" s="1" t="s">
        <v>459</v>
      </c>
      <c r="B376" s="1">
        <v>47.0</v>
      </c>
      <c r="C376" s="1" t="s">
        <v>16</v>
      </c>
      <c r="D376" s="1" t="s">
        <v>32</v>
      </c>
      <c r="E376" s="1" t="s">
        <v>23</v>
      </c>
      <c r="F376" s="1">
        <v>7.77</v>
      </c>
      <c r="G376" s="1">
        <v>0.96</v>
      </c>
      <c r="H376" s="1">
        <v>6.81</v>
      </c>
      <c r="I376" s="1">
        <v>6.77</v>
      </c>
      <c r="J376" s="1">
        <v>1.0</v>
      </c>
      <c r="K376" s="1">
        <v>10.0</v>
      </c>
      <c r="L376" s="1">
        <v>44.3</v>
      </c>
      <c r="M376" s="1">
        <v>0.0</v>
      </c>
      <c r="N376" s="1">
        <v>0.0</v>
      </c>
      <c r="O376" s="1">
        <v>0.0</v>
      </c>
    </row>
    <row r="377">
      <c r="A377" s="1" t="s">
        <v>460</v>
      </c>
      <c r="B377" s="1">
        <v>23.0</v>
      </c>
      <c r="C377" s="1" t="s">
        <v>16</v>
      </c>
      <c r="D377" s="1" t="s">
        <v>43</v>
      </c>
      <c r="E377" s="1" t="s">
        <v>27</v>
      </c>
      <c r="F377" s="1">
        <v>10.19</v>
      </c>
      <c r="G377" s="1">
        <v>2.64</v>
      </c>
      <c r="H377" s="1">
        <v>7.55</v>
      </c>
      <c r="I377" s="1">
        <v>6.96</v>
      </c>
      <c r="J377" s="1">
        <v>1.0</v>
      </c>
      <c r="K377" s="1">
        <v>8.0</v>
      </c>
      <c r="L377" s="1">
        <v>56.0</v>
      </c>
      <c r="M377" s="1">
        <v>19.0</v>
      </c>
      <c r="N377" s="1">
        <v>11.1</v>
      </c>
      <c r="O377" s="1">
        <v>13.8</v>
      </c>
    </row>
    <row r="378">
      <c r="A378" s="1" t="s">
        <v>461</v>
      </c>
      <c r="B378" s="1">
        <v>36.0</v>
      </c>
      <c r="C378" s="1" t="s">
        <v>16</v>
      </c>
      <c r="D378" s="1" t="s">
        <v>32</v>
      </c>
      <c r="E378" s="1" t="s">
        <v>18</v>
      </c>
      <c r="F378" s="1">
        <v>11.61</v>
      </c>
      <c r="G378" s="1">
        <v>5.33</v>
      </c>
      <c r="H378" s="1">
        <v>6.28</v>
      </c>
      <c r="I378" s="1">
        <v>7.26</v>
      </c>
      <c r="J378" s="1">
        <v>2.0</v>
      </c>
      <c r="K378" s="1">
        <v>8.2</v>
      </c>
      <c r="L378" s="1">
        <v>59.1</v>
      </c>
      <c r="M378" s="1">
        <v>69.0</v>
      </c>
      <c r="N378" s="1">
        <v>0.0</v>
      </c>
      <c r="O378" s="1">
        <v>25.1</v>
      </c>
    </row>
    <row r="379">
      <c r="A379" s="1" t="s">
        <v>462</v>
      </c>
      <c r="B379" s="1">
        <v>31.0</v>
      </c>
      <c r="C379" s="1" t="s">
        <v>30</v>
      </c>
      <c r="D379" s="1" t="s">
        <v>17</v>
      </c>
      <c r="E379" s="1" t="s">
        <v>27</v>
      </c>
      <c r="F379" s="1">
        <v>6.03</v>
      </c>
      <c r="G379" s="1">
        <v>0.79</v>
      </c>
      <c r="H379" s="1">
        <v>5.24</v>
      </c>
      <c r="I379" s="1">
        <v>8.28</v>
      </c>
      <c r="J379" s="1">
        <v>2.0</v>
      </c>
      <c r="K379" s="1">
        <v>3.2</v>
      </c>
      <c r="L379" s="1">
        <v>76.5</v>
      </c>
      <c r="M379" s="1">
        <v>137.0</v>
      </c>
      <c r="N379" s="1">
        <v>9.4</v>
      </c>
      <c r="O379" s="1">
        <v>50.5</v>
      </c>
    </row>
    <row r="380">
      <c r="A380" s="1" t="s">
        <v>463</v>
      </c>
      <c r="B380" s="1">
        <v>47.0</v>
      </c>
      <c r="C380" s="1" t="s">
        <v>16</v>
      </c>
      <c r="D380" s="1" t="s">
        <v>17</v>
      </c>
      <c r="E380" s="1" t="s">
        <v>27</v>
      </c>
      <c r="F380" s="1">
        <v>5.0</v>
      </c>
      <c r="G380" s="1">
        <v>0.67</v>
      </c>
      <c r="H380" s="1">
        <v>4.33</v>
      </c>
      <c r="I380" s="1">
        <v>6.84</v>
      </c>
      <c r="J380" s="1">
        <v>1.0</v>
      </c>
      <c r="K380" s="1">
        <v>6.6</v>
      </c>
      <c r="L380" s="1">
        <v>63.0</v>
      </c>
      <c r="M380" s="1">
        <v>207.0</v>
      </c>
      <c r="N380" s="1">
        <v>4.6</v>
      </c>
      <c r="O380" s="1">
        <v>27.3</v>
      </c>
    </row>
    <row r="381">
      <c r="A381" s="1" t="s">
        <v>464</v>
      </c>
      <c r="B381" s="1">
        <v>23.0</v>
      </c>
      <c r="C381" s="1" t="s">
        <v>30</v>
      </c>
      <c r="D381" s="1" t="s">
        <v>35</v>
      </c>
      <c r="E381" s="1" t="s">
        <v>18</v>
      </c>
      <c r="F381" s="1">
        <v>9.62</v>
      </c>
      <c r="G381" s="1">
        <v>4.12</v>
      </c>
      <c r="H381" s="1">
        <v>5.5</v>
      </c>
      <c r="I381" s="1">
        <v>8.64</v>
      </c>
      <c r="J381" s="1">
        <v>2.0</v>
      </c>
      <c r="K381" s="1">
        <v>8.7</v>
      </c>
      <c r="L381" s="1">
        <v>56.5</v>
      </c>
      <c r="M381" s="1">
        <v>66.0</v>
      </c>
      <c r="N381" s="1">
        <v>9.2</v>
      </c>
      <c r="O381" s="1">
        <v>23.8</v>
      </c>
    </row>
    <row r="382">
      <c r="A382" s="1" t="s">
        <v>465</v>
      </c>
      <c r="B382" s="1">
        <v>23.0</v>
      </c>
      <c r="C382" s="1" t="s">
        <v>30</v>
      </c>
      <c r="D382" s="1" t="s">
        <v>17</v>
      </c>
      <c r="E382" s="1" t="s">
        <v>27</v>
      </c>
      <c r="F382" s="1">
        <v>14.02</v>
      </c>
      <c r="G382" s="1">
        <v>3.21</v>
      </c>
      <c r="H382" s="1">
        <v>10.81</v>
      </c>
      <c r="I382" s="1">
        <v>6.84</v>
      </c>
      <c r="J382" s="1">
        <v>3.0</v>
      </c>
      <c r="K382" s="1">
        <v>10.0</v>
      </c>
      <c r="L382" s="1">
        <v>47.3</v>
      </c>
      <c r="M382" s="1">
        <v>9.0</v>
      </c>
      <c r="N382" s="1">
        <v>6.6</v>
      </c>
      <c r="O382" s="1">
        <v>10.2</v>
      </c>
    </row>
    <row r="383">
      <c r="A383" s="1" t="s">
        <v>466</v>
      </c>
      <c r="B383" s="1">
        <v>25.0</v>
      </c>
      <c r="C383" s="1" t="s">
        <v>16</v>
      </c>
      <c r="D383" s="1" t="s">
        <v>35</v>
      </c>
      <c r="E383" s="1" t="s">
        <v>18</v>
      </c>
      <c r="F383" s="1">
        <v>14.07</v>
      </c>
      <c r="G383" s="1">
        <v>4.54</v>
      </c>
      <c r="H383" s="1">
        <v>9.53</v>
      </c>
      <c r="I383" s="1">
        <v>6.24</v>
      </c>
      <c r="J383" s="1">
        <v>1.0</v>
      </c>
      <c r="K383" s="1">
        <v>10.0</v>
      </c>
      <c r="L383" s="1">
        <v>40.4</v>
      </c>
      <c r="M383" s="1">
        <v>0.0</v>
      </c>
      <c r="N383" s="1">
        <v>5.8</v>
      </c>
      <c r="O383" s="1">
        <v>5.8</v>
      </c>
    </row>
    <row r="384">
      <c r="A384" s="1" t="s">
        <v>467</v>
      </c>
      <c r="B384" s="1">
        <v>16.0</v>
      </c>
      <c r="C384" s="1" t="s">
        <v>16</v>
      </c>
      <c r="D384" s="1" t="s">
        <v>17</v>
      </c>
      <c r="E384" s="1" t="s">
        <v>27</v>
      </c>
      <c r="F384" s="1">
        <v>7.41</v>
      </c>
      <c r="G384" s="1">
        <v>1.01</v>
      </c>
      <c r="H384" s="1">
        <v>6.4</v>
      </c>
      <c r="I384" s="1">
        <v>8.02</v>
      </c>
      <c r="J384" s="1">
        <v>3.0</v>
      </c>
      <c r="K384" s="1">
        <v>4.9</v>
      </c>
      <c r="L384" s="1">
        <v>81.0</v>
      </c>
      <c r="M384" s="1">
        <v>140.0</v>
      </c>
      <c r="N384" s="1">
        <v>7.2</v>
      </c>
      <c r="O384" s="1">
        <v>67.8</v>
      </c>
    </row>
    <row r="385">
      <c r="A385" s="1" t="s">
        <v>468</v>
      </c>
      <c r="B385" s="1">
        <v>25.0</v>
      </c>
      <c r="C385" s="1" t="s">
        <v>16</v>
      </c>
      <c r="D385" s="1" t="s">
        <v>35</v>
      </c>
      <c r="E385" s="1" t="s">
        <v>27</v>
      </c>
      <c r="F385" s="1">
        <v>7.63</v>
      </c>
      <c r="G385" s="1">
        <v>1.13</v>
      </c>
      <c r="H385" s="1">
        <v>6.5</v>
      </c>
      <c r="I385" s="1">
        <v>9.1</v>
      </c>
      <c r="J385" s="1">
        <v>4.0</v>
      </c>
      <c r="K385" s="1">
        <v>4.5</v>
      </c>
      <c r="L385" s="1">
        <v>97.6</v>
      </c>
      <c r="M385" s="1">
        <v>207.0</v>
      </c>
      <c r="N385" s="1">
        <v>5.0</v>
      </c>
      <c r="O385" s="1">
        <v>71.0</v>
      </c>
    </row>
    <row r="386">
      <c r="A386" s="1" t="s">
        <v>469</v>
      </c>
      <c r="B386" s="1">
        <v>23.0</v>
      </c>
      <c r="C386" s="1" t="s">
        <v>30</v>
      </c>
      <c r="D386" s="1" t="s">
        <v>32</v>
      </c>
      <c r="E386" s="1" t="s">
        <v>18</v>
      </c>
      <c r="F386" s="1">
        <v>10.23</v>
      </c>
      <c r="G386" s="1">
        <v>6.7</v>
      </c>
      <c r="H386" s="1">
        <v>3.53</v>
      </c>
      <c r="I386" s="1">
        <v>5.64</v>
      </c>
      <c r="J386" s="1">
        <v>1.0</v>
      </c>
      <c r="K386" s="1">
        <v>10.0</v>
      </c>
      <c r="L386" s="1">
        <v>33.5</v>
      </c>
      <c r="M386" s="1">
        <v>182.0</v>
      </c>
      <c r="N386" s="1">
        <v>11.3</v>
      </c>
      <c r="O386" s="1">
        <v>8.8</v>
      </c>
    </row>
    <row r="387">
      <c r="A387" s="1" t="s">
        <v>470</v>
      </c>
      <c r="B387" s="1">
        <v>31.0</v>
      </c>
      <c r="C387" s="1" t="s">
        <v>16</v>
      </c>
      <c r="D387" s="1" t="s">
        <v>35</v>
      </c>
      <c r="E387" s="1" t="s">
        <v>18</v>
      </c>
      <c r="F387" s="1">
        <v>10.44</v>
      </c>
      <c r="G387" s="1">
        <v>3.97</v>
      </c>
      <c r="H387" s="1">
        <v>6.47</v>
      </c>
      <c r="I387" s="1">
        <v>6.66</v>
      </c>
      <c r="J387" s="1">
        <v>1.0</v>
      </c>
      <c r="K387" s="1">
        <v>7.8</v>
      </c>
      <c r="L387" s="1">
        <v>50.4</v>
      </c>
      <c r="M387" s="1">
        <v>146.0</v>
      </c>
      <c r="N387" s="1">
        <v>6.4</v>
      </c>
      <c r="O387" s="1">
        <v>16.7</v>
      </c>
    </row>
    <row r="388">
      <c r="A388" s="1" t="s">
        <v>471</v>
      </c>
      <c r="B388" s="1">
        <v>32.0</v>
      </c>
      <c r="C388" s="1" t="s">
        <v>30</v>
      </c>
      <c r="D388" s="1" t="s">
        <v>17</v>
      </c>
      <c r="E388" s="1" t="s">
        <v>23</v>
      </c>
      <c r="F388" s="1">
        <v>5.84</v>
      </c>
      <c r="G388" s="1">
        <v>0.4</v>
      </c>
      <c r="H388" s="1">
        <v>5.44</v>
      </c>
      <c r="I388" s="1">
        <v>5.64</v>
      </c>
      <c r="J388" s="1">
        <v>1.0</v>
      </c>
      <c r="K388" s="1">
        <v>10.0</v>
      </c>
      <c r="L388" s="1">
        <v>43.8</v>
      </c>
      <c r="M388" s="1">
        <v>169.0</v>
      </c>
      <c r="N388" s="1">
        <v>6.7</v>
      </c>
      <c r="O388" s="1">
        <v>7.0</v>
      </c>
    </row>
    <row r="389">
      <c r="A389" s="1" t="s">
        <v>472</v>
      </c>
      <c r="B389" s="1">
        <v>45.0</v>
      </c>
      <c r="C389" s="1" t="s">
        <v>16</v>
      </c>
      <c r="D389" s="1" t="s">
        <v>35</v>
      </c>
      <c r="E389" s="1" t="s">
        <v>27</v>
      </c>
      <c r="F389" s="1">
        <v>8.62</v>
      </c>
      <c r="G389" s="1">
        <v>1.94</v>
      </c>
      <c r="H389" s="1">
        <v>6.68</v>
      </c>
      <c r="I389" s="1">
        <v>7.41</v>
      </c>
      <c r="J389" s="1">
        <v>1.0</v>
      </c>
      <c r="K389" s="1">
        <v>9.7</v>
      </c>
      <c r="L389" s="1">
        <v>49.9</v>
      </c>
      <c r="M389" s="1">
        <v>233.0</v>
      </c>
      <c r="N389" s="1">
        <v>18.5</v>
      </c>
      <c r="O389" s="1">
        <v>7.1</v>
      </c>
    </row>
    <row r="390">
      <c r="A390" s="1" t="s">
        <v>473</v>
      </c>
      <c r="B390" s="1">
        <v>37.0</v>
      </c>
      <c r="C390" s="1" t="s">
        <v>30</v>
      </c>
      <c r="D390" s="1" t="s">
        <v>17</v>
      </c>
      <c r="E390" s="1" t="s">
        <v>18</v>
      </c>
      <c r="F390" s="1">
        <v>10.34</v>
      </c>
      <c r="G390" s="1">
        <v>3.55</v>
      </c>
      <c r="H390" s="1">
        <v>6.79</v>
      </c>
      <c r="I390" s="1">
        <v>7.21</v>
      </c>
      <c r="J390" s="1">
        <v>1.0</v>
      </c>
      <c r="K390" s="1">
        <v>10.0</v>
      </c>
      <c r="L390" s="1">
        <v>32.8</v>
      </c>
      <c r="M390" s="1">
        <v>123.0</v>
      </c>
      <c r="N390" s="1">
        <v>9.5</v>
      </c>
      <c r="O390" s="1">
        <v>4.5</v>
      </c>
    </row>
    <row r="391">
      <c r="A391" s="1" t="s">
        <v>474</v>
      </c>
      <c r="B391" s="1">
        <v>25.0</v>
      </c>
      <c r="C391" s="1" t="s">
        <v>16</v>
      </c>
      <c r="D391" s="1" t="s">
        <v>17</v>
      </c>
      <c r="E391" s="1" t="s">
        <v>23</v>
      </c>
      <c r="F391" s="1">
        <v>10.47</v>
      </c>
      <c r="G391" s="1">
        <v>1.05</v>
      </c>
      <c r="H391" s="1">
        <v>9.42</v>
      </c>
      <c r="I391" s="1">
        <v>6.75</v>
      </c>
      <c r="J391" s="1">
        <v>2.0</v>
      </c>
      <c r="K391" s="1">
        <v>10.0</v>
      </c>
      <c r="L391" s="1">
        <v>50.4</v>
      </c>
      <c r="M391" s="1">
        <v>138.0</v>
      </c>
      <c r="N391" s="1">
        <v>6.3</v>
      </c>
      <c r="O391" s="1">
        <v>16.8</v>
      </c>
    </row>
    <row r="392">
      <c r="A392" s="1" t="s">
        <v>475</v>
      </c>
      <c r="B392" s="1">
        <v>22.0</v>
      </c>
      <c r="C392" s="1" t="s">
        <v>16</v>
      </c>
      <c r="D392" s="1" t="s">
        <v>17</v>
      </c>
      <c r="E392" s="1" t="s">
        <v>18</v>
      </c>
      <c r="F392" s="1">
        <v>11.79</v>
      </c>
      <c r="G392" s="1">
        <v>6.19</v>
      </c>
      <c r="H392" s="1">
        <v>5.6</v>
      </c>
      <c r="I392" s="1">
        <v>6.03</v>
      </c>
      <c r="J392" s="1">
        <v>1.0</v>
      </c>
      <c r="K392" s="1">
        <v>10.0</v>
      </c>
      <c r="L392" s="1">
        <v>36.5</v>
      </c>
      <c r="M392" s="1">
        <v>61.0</v>
      </c>
      <c r="N392" s="1">
        <v>11.7</v>
      </c>
      <c r="O392" s="1">
        <v>0.0</v>
      </c>
    </row>
    <row r="393">
      <c r="A393" s="1" t="s">
        <v>476</v>
      </c>
      <c r="B393" s="1">
        <v>33.0</v>
      </c>
      <c r="C393" s="1" t="s">
        <v>30</v>
      </c>
      <c r="D393" s="1" t="s">
        <v>17</v>
      </c>
      <c r="E393" s="1" t="s">
        <v>27</v>
      </c>
      <c r="F393" s="1">
        <v>7.49</v>
      </c>
      <c r="G393" s="1">
        <v>1.21</v>
      </c>
      <c r="H393" s="1">
        <v>6.28</v>
      </c>
      <c r="I393" s="1">
        <v>5.67</v>
      </c>
      <c r="J393" s="1">
        <v>1.0</v>
      </c>
      <c r="K393" s="1">
        <v>7.8</v>
      </c>
      <c r="L393" s="1">
        <v>51.2</v>
      </c>
      <c r="M393" s="1">
        <v>19.0</v>
      </c>
      <c r="N393" s="1">
        <v>17.6</v>
      </c>
      <c r="O393" s="1">
        <v>7.7</v>
      </c>
    </row>
    <row r="394">
      <c r="A394" s="1" t="s">
        <v>477</v>
      </c>
      <c r="B394" s="1">
        <v>19.0</v>
      </c>
      <c r="C394" s="1" t="s">
        <v>30</v>
      </c>
      <c r="D394" s="1" t="s">
        <v>32</v>
      </c>
      <c r="E394" s="1" t="s">
        <v>23</v>
      </c>
      <c r="F394" s="1">
        <v>10.75</v>
      </c>
      <c r="G394" s="1">
        <v>0.84</v>
      </c>
      <c r="H394" s="1">
        <v>9.91</v>
      </c>
      <c r="I394" s="1">
        <v>6.98</v>
      </c>
      <c r="J394" s="1">
        <v>1.0</v>
      </c>
      <c r="K394" s="1">
        <v>9.7</v>
      </c>
      <c r="L394" s="1">
        <v>34.4</v>
      </c>
      <c r="M394" s="1">
        <v>40.0</v>
      </c>
      <c r="N394" s="1">
        <v>9.0</v>
      </c>
      <c r="O394" s="1">
        <v>0.0</v>
      </c>
    </row>
    <row r="395">
      <c r="A395" s="1" t="s">
        <v>478</v>
      </c>
      <c r="B395" s="1">
        <v>44.0</v>
      </c>
      <c r="C395" s="1" t="s">
        <v>16</v>
      </c>
      <c r="D395" s="1" t="s">
        <v>32</v>
      </c>
      <c r="E395" s="1" t="s">
        <v>18</v>
      </c>
      <c r="F395" s="1">
        <v>10.97</v>
      </c>
      <c r="G395" s="1">
        <v>4.21</v>
      </c>
      <c r="H395" s="1">
        <v>6.76</v>
      </c>
      <c r="I395" s="1">
        <v>8.06</v>
      </c>
      <c r="J395" s="1">
        <v>1.0</v>
      </c>
      <c r="K395" s="1">
        <v>10.0</v>
      </c>
      <c r="L395" s="1">
        <v>38.8</v>
      </c>
      <c r="M395" s="1">
        <v>99.0</v>
      </c>
      <c r="N395" s="1">
        <v>9.4</v>
      </c>
      <c r="O395" s="1">
        <v>1.9</v>
      </c>
    </row>
    <row r="396">
      <c r="A396" s="1" t="s">
        <v>479</v>
      </c>
      <c r="B396" s="1">
        <v>39.0</v>
      </c>
      <c r="C396" s="1" t="s">
        <v>30</v>
      </c>
      <c r="D396" s="1" t="s">
        <v>32</v>
      </c>
      <c r="E396" s="1" t="s">
        <v>18</v>
      </c>
      <c r="F396" s="1">
        <v>14.0</v>
      </c>
      <c r="G396" s="1">
        <v>6.2</v>
      </c>
      <c r="H396" s="1">
        <v>7.8</v>
      </c>
      <c r="I396" s="1">
        <v>5.92</v>
      </c>
      <c r="J396" s="1">
        <v>1.0</v>
      </c>
      <c r="K396" s="1">
        <v>10.0</v>
      </c>
      <c r="L396" s="1">
        <v>43.5</v>
      </c>
      <c r="M396" s="1">
        <v>83.0</v>
      </c>
      <c r="N396" s="1">
        <v>0.7</v>
      </c>
      <c r="O396" s="1">
        <v>5.7</v>
      </c>
    </row>
    <row r="397">
      <c r="A397" s="1" t="s">
        <v>480</v>
      </c>
      <c r="B397" s="1">
        <v>26.0</v>
      </c>
      <c r="C397" s="1" t="s">
        <v>16</v>
      </c>
      <c r="D397" s="1" t="s">
        <v>32</v>
      </c>
      <c r="E397" s="1" t="s">
        <v>18</v>
      </c>
      <c r="F397" s="1">
        <v>6.43</v>
      </c>
      <c r="G397" s="1">
        <v>2.99</v>
      </c>
      <c r="H397" s="1">
        <v>3.44</v>
      </c>
      <c r="I397" s="1">
        <v>7.75</v>
      </c>
      <c r="J397" s="1">
        <v>1.0</v>
      </c>
      <c r="K397" s="1">
        <v>5.9</v>
      </c>
      <c r="L397" s="1">
        <v>64.6</v>
      </c>
      <c r="M397" s="1">
        <v>252.0</v>
      </c>
      <c r="N397" s="1">
        <v>7.6</v>
      </c>
      <c r="O397" s="1">
        <v>39.3</v>
      </c>
    </row>
    <row r="398">
      <c r="A398" s="1" t="s">
        <v>481</v>
      </c>
      <c r="B398" s="1">
        <v>16.0</v>
      </c>
      <c r="C398" s="1" t="s">
        <v>30</v>
      </c>
      <c r="D398" s="1" t="s">
        <v>35</v>
      </c>
      <c r="E398" s="1" t="s">
        <v>18</v>
      </c>
      <c r="F398" s="1">
        <v>9.59</v>
      </c>
      <c r="G398" s="1">
        <v>5.44</v>
      </c>
      <c r="H398" s="1">
        <v>4.15</v>
      </c>
      <c r="I398" s="1">
        <v>5.57</v>
      </c>
      <c r="J398" s="1">
        <v>1.0</v>
      </c>
      <c r="K398" s="1">
        <v>10.0</v>
      </c>
      <c r="L398" s="1">
        <v>47.4</v>
      </c>
      <c r="M398" s="1">
        <v>99.0</v>
      </c>
      <c r="N398" s="1">
        <v>7.0</v>
      </c>
      <c r="O398" s="1">
        <v>3.5</v>
      </c>
    </row>
    <row r="399">
      <c r="A399" s="1" t="s">
        <v>482</v>
      </c>
      <c r="B399" s="1">
        <v>40.0</v>
      </c>
      <c r="C399" s="1" t="s">
        <v>30</v>
      </c>
      <c r="D399" s="1" t="s">
        <v>32</v>
      </c>
      <c r="E399" s="1" t="s">
        <v>18</v>
      </c>
      <c r="F399" s="1">
        <v>8.72</v>
      </c>
      <c r="G399" s="1">
        <v>2.36</v>
      </c>
      <c r="H399" s="1">
        <v>6.36</v>
      </c>
      <c r="I399" s="1">
        <v>7.56</v>
      </c>
      <c r="J399" s="1">
        <v>1.0</v>
      </c>
      <c r="K399" s="1">
        <v>9.4</v>
      </c>
      <c r="L399" s="1">
        <v>57.3</v>
      </c>
      <c r="M399" s="1">
        <v>193.0</v>
      </c>
      <c r="N399" s="1">
        <v>10.1</v>
      </c>
      <c r="O399" s="1">
        <v>6.6</v>
      </c>
    </row>
    <row r="400">
      <c r="A400" s="1" t="s">
        <v>483</v>
      </c>
      <c r="B400" s="1">
        <v>29.0</v>
      </c>
      <c r="C400" s="1" t="s">
        <v>16</v>
      </c>
      <c r="D400" s="1" t="s">
        <v>37</v>
      </c>
      <c r="E400" s="1" t="s">
        <v>27</v>
      </c>
      <c r="F400" s="1">
        <v>5.04</v>
      </c>
      <c r="G400" s="1">
        <v>0.94</v>
      </c>
      <c r="H400" s="1">
        <v>4.1</v>
      </c>
      <c r="I400" s="1">
        <v>7.32</v>
      </c>
      <c r="J400" s="1">
        <v>1.0</v>
      </c>
      <c r="K400" s="1">
        <v>7.1</v>
      </c>
      <c r="L400" s="1">
        <v>63.6</v>
      </c>
      <c r="M400" s="1">
        <v>97.0</v>
      </c>
      <c r="N400" s="1">
        <v>12.1</v>
      </c>
      <c r="O400" s="1">
        <v>21.0</v>
      </c>
    </row>
    <row r="401">
      <c r="A401" s="1" t="s">
        <v>484</v>
      </c>
      <c r="B401" s="1">
        <v>39.0</v>
      </c>
      <c r="C401" s="1" t="s">
        <v>16</v>
      </c>
      <c r="D401" s="1" t="s">
        <v>17</v>
      </c>
      <c r="E401" s="1" t="s">
        <v>18</v>
      </c>
      <c r="F401" s="1">
        <v>8.86</v>
      </c>
      <c r="G401" s="1">
        <v>3.82</v>
      </c>
      <c r="H401" s="1">
        <v>5.04</v>
      </c>
      <c r="I401" s="1">
        <v>6.55</v>
      </c>
      <c r="J401" s="1">
        <v>1.0</v>
      </c>
      <c r="K401" s="1">
        <v>10.0</v>
      </c>
      <c r="L401" s="1">
        <v>41.4</v>
      </c>
      <c r="M401" s="1">
        <v>88.0</v>
      </c>
      <c r="N401" s="1">
        <v>9.8</v>
      </c>
      <c r="O401" s="1">
        <v>8.4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7" max="17" width="17.88"/>
    <col customWidth="1" min="18" max="18" width="15.63"/>
    <col customWidth="1" min="20" max="22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19</v>
      </c>
      <c r="Q1" s="1" t="s">
        <v>20</v>
      </c>
      <c r="R1" s="1" t="s">
        <v>22</v>
      </c>
      <c r="S1" s="1" t="s">
        <v>24</v>
      </c>
      <c r="T1" s="1" t="s">
        <v>25</v>
      </c>
      <c r="AA1" s="1" t="s">
        <v>6</v>
      </c>
      <c r="AB1" s="1" t="s">
        <v>28</v>
      </c>
    </row>
    <row r="2">
      <c r="A2" s="1" t="s">
        <v>15</v>
      </c>
      <c r="B2" s="1">
        <v>33.0</v>
      </c>
      <c r="C2" s="1" t="s">
        <v>16</v>
      </c>
      <c r="D2" s="1" t="s">
        <v>17</v>
      </c>
      <c r="E2" s="1" t="s">
        <v>18</v>
      </c>
      <c r="F2" s="1">
        <v>10.79</v>
      </c>
      <c r="G2" s="1">
        <v>5.44</v>
      </c>
      <c r="H2" s="1">
        <v>5.35</v>
      </c>
      <c r="I2" s="1">
        <v>6.63</v>
      </c>
      <c r="J2" s="1">
        <v>1.0</v>
      </c>
      <c r="K2" s="1">
        <v>9.3</v>
      </c>
      <c r="L2" s="1">
        <v>44.7</v>
      </c>
      <c r="M2" s="1">
        <v>127.0</v>
      </c>
      <c r="N2" s="1">
        <v>0.7</v>
      </c>
      <c r="O2" s="1">
        <v>9.3</v>
      </c>
      <c r="P2" s="2">
        <f t="shared" ref="P2:P401" si="1">F2-G2-H2</f>
        <v>0</v>
      </c>
      <c r="Q2" s="1" t="str">
        <f t="shared" ref="Q2:Q401" si="2">IF(H2&lt;=6.7,"Low Leisure Screen","High Leisure Screen")</f>
        <v>Low Leisure Screen</v>
      </c>
      <c r="R2" s="2" t="str">
        <f t="shared" ref="R2:R401" si="3">IF(F2&lt;=9.09,"Low Total Screen","High Total Screen")</f>
        <v>High Total Screen</v>
      </c>
      <c r="S2" s="2" t="str">
        <f t="shared" ref="S2:S401" si="4">IF(AND(R2="High Total Screen",M2&lt;=103),"Lower Exercise",IF(AND(R2="High Total Screen",M2&gt;103),"Higher Exercise",""))</f>
        <v>Higher Exercise</v>
      </c>
      <c r="T2" s="2" t="str">
        <f t="shared" ref="T2:T401" si="5">IF(AND(R2="High Total Screen",N2&lt;=7.75),"Lower Social",IF(AND(R2="High Total Screen",N2&gt;7.75),"Higher Social",""))</f>
        <v>Lower Social</v>
      </c>
      <c r="AA2" s="1">
        <v>5.44</v>
      </c>
      <c r="AB2" s="2">
        <f t="shared" ref="AB2:AB401" si="6">LN(AA2+1)</f>
        <v>1.86252854</v>
      </c>
    </row>
    <row r="3">
      <c r="A3" s="1" t="s">
        <v>21</v>
      </c>
      <c r="B3" s="1">
        <v>28.0</v>
      </c>
      <c r="C3" s="1" t="s">
        <v>16</v>
      </c>
      <c r="D3" s="1" t="s">
        <v>17</v>
      </c>
      <c r="E3" s="1" t="s">
        <v>23</v>
      </c>
      <c r="F3" s="1">
        <v>7.4</v>
      </c>
      <c r="G3" s="1">
        <v>0.37</v>
      </c>
      <c r="H3" s="1">
        <v>7.03</v>
      </c>
      <c r="I3" s="1">
        <v>8.05</v>
      </c>
      <c r="J3" s="1">
        <v>3.0</v>
      </c>
      <c r="K3" s="1">
        <v>5.7</v>
      </c>
      <c r="L3" s="1">
        <v>78.0</v>
      </c>
      <c r="M3" s="1">
        <v>74.0</v>
      </c>
      <c r="N3" s="1">
        <v>2.1</v>
      </c>
      <c r="O3" s="1">
        <v>56.2</v>
      </c>
      <c r="P3" s="2">
        <f t="shared" si="1"/>
        <v>0</v>
      </c>
      <c r="Q3" s="1" t="str">
        <f t="shared" si="2"/>
        <v>High Leisure Screen</v>
      </c>
      <c r="R3" s="2" t="str">
        <f t="shared" si="3"/>
        <v>Low Total Screen</v>
      </c>
      <c r="S3" s="2" t="str">
        <f t="shared" si="4"/>
        <v/>
      </c>
      <c r="T3" s="2" t="str">
        <f t="shared" si="5"/>
        <v/>
      </c>
      <c r="U3" s="1"/>
      <c r="V3" s="1"/>
      <c r="AA3" s="1">
        <v>0.37</v>
      </c>
      <c r="AB3" s="2">
        <f t="shared" si="6"/>
        <v>0.3148107398</v>
      </c>
    </row>
    <row r="4">
      <c r="A4" s="1" t="s">
        <v>26</v>
      </c>
      <c r="B4" s="1">
        <v>35.0</v>
      </c>
      <c r="C4" s="1" t="s">
        <v>16</v>
      </c>
      <c r="D4" s="1" t="s">
        <v>17</v>
      </c>
      <c r="E4" s="1" t="s">
        <v>27</v>
      </c>
      <c r="F4" s="1">
        <v>9.78</v>
      </c>
      <c r="G4" s="1">
        <v>1.09</v>
      </c>
      <c r="H4" s="1">
        <v>8.69</v>
      </c>
      <c r="I4" s="1">
        <v>6.48</v>
      </c>
      <c r="J4" s="1">
        <v>1.0</v>
      </c>
      <c r="K4" s="1">
        <v>9.1</v>
      </c>
      <c r="L4" s="1">
        <v>51.8</v>
      </c>
      <c r="M4" s="1">
        <v>67.0</v>
      </c>
      <c r="N4" s="1">
        <v>8.0</v>
      </c>
      <c r="O4" s="1">
        <v>3.6</v>
      </c>
      <c r="P4" s="2">
        <f t="shared" si="1"/>
        <v>0</v>
      </c>
      <c r="Q4" s="1" t="str">
        <f t="shared" si="2"/>
        <v>High Leisure Screen</v>
      </c>
      <c r="R4" s="2" t="str">
        <f t="shared" si="3"/>
        <v>High Total Screen</v>
      </c>
      <c r="S4" s="2" t="str">
        <f t="shared" si="4"/>
        <v>Lower Exercise</v>
      </c>
      <c r="T4" s="2" t="str">
        <f t="shared" si="5"/>
        <v>Higher Social</v>
      </c>
      <c r="U4" s="1"/>
      <c r="V4" s="3" t="s">
        <v>20</v>
      </c>
      <c r="W4" s="3" t="s">
        <v>67</v>
      </c>
      <c r="X4" s="3" t="s">
        <v>68</v>
      </c>
      <c r="Y4" s="3" t="s">
        <v>70</v>
      </c>
      <c r="AA4" s="1">
        <v>1.09</v>
      </c>
      <c r="AB4" s="2">
        <f t="shared" si="6"/>
        <v>0.737164066</v>
      </c>
    </row>
    <row r="5">
      <c r="A5" s="1" t="s">
        <v>29</v>
      </c>
      <c r="B5" s="1">
        <v>42.0</v>
      </c>
      <c r="C5" s="1" t="s">
        <v>30</v>
      </c>
      <c r="D5" s="1" t="s">
        <v>17</v>
      </c>
      <c r="E5" s="1" t="s">
        <v>27</v>
      </c>
      <c r="F5" s="1">
        <v>11.13</v>
      </c>
      <c r="G5" s="1">
        <v>0.56</v>
      </c>
      <c r="H5" s="1">
        <v>10.57</v>
      </c>
      <c r="I5" s="1">
        <v>6.89</v>
      </c>
      <c r="J5" s="1">
        <v>1.0</v>
      </c>
      <c r="K5" s="1">
        <v>10.0</v>
      </c>
      <c r="L5" s="1">
        <v>37.0</v>
      </c>
      <c r="M5" s="1">
        <v>0.0</v>
      </c>
      <c r="N5" s="1">
        <v>5.7</v>
      </c>
      <c r="O5" s="1">
        <v>0.0</v>
      </c>
      <c r="P5" s="2">
        <f t="shared" si="1"/>
        <v>0</v>
      </c>
      <c r="Q5" s="1" t="str">
        <f t="shared" si="2"/>
        <v>High Leisure Screen</v>
      </c>
      <c r="R5" s="2" t="str">
        <f t="shared" si="3"/>
        <v>High Total Screen</v>
      </c>
      <c r="S5" s="2" t="str">
        <f t="shared" si="4"/>
        <v>Lower Exercise</v>
      </c>
      <c r="T5" s="2" t="str">
        <f t="shared" si="5"/>
        <v>Lower Social</v>
      </c>
      <c r="U5" s="1"/>
      <c r="V5" s="3" t="s">
        <v>74</v>
      </c>
      <c r="W5" s="4">
        <f>COUNTIF(Q2:Q401,"Low Leisure Screen")</f>
        <v>201</v>
      </c>
      <c r="X5" s="4">
        <f>AVERAGEIF(Q2:Q401,"Low Leisure Screen",O2:O401)</f>
        <v>27.60547264</v>
      </c>
      <c r="Y5" s="4">
        <f>AVERAGEIF(Q2:Q401,"Low Leisure Screen",L2:L401)</f>
        <v>59.96218905</v>
      </c>
      <c r="AA5" s="1">
        <v>0.56</v>
      </c>
      <c r="AB5" s="2">
        <f t="shared" si="6"/>
        <v>0.4446858213</v>
      </c>
    </row>
    <row r="6">
      <c r="A6" s="1" t="s">
        <v>31</v>
      </c>
      <c r="B6" s="1">
        <v>28.0</v>
      </c>
      <c r="C6" s="1" t="s">
        <v>30</v>
      </c>
      <c r="D6" s="1" t="s">
        <v>32</v>
      </c>
      <c r="E6" s="1" t="s">
        <v>18</v>
      </c>
      <c r="F6" s="1">
        <v>13.22</v>
      </c>
      <c r="G6" s="1">
        <v>4.09</v>
      </c>
      <c r="H6" s="1">
        <v>9.13</v>
      </c>
      <c r="I6" s="1">
        <v>5.79</v>
      </c>
      <c r="J6" s="1">
        <v>1.0</v>
      </c>
      <c r="K6" s="1">
        <v>10.0</v>
      </c>
      <c r="L6" s="1">
        <v>38.5</v>
      </c>
      <c r="M6" s="1">
        <v>0.0</v>
      </c>
      <c r="N6" s="1">
        <v>10.1</v>
      </c>
      <c r="O6" s="1">
        <v>0.0</v>
      </c>
      <c r="P6" s="2">
        <f t="shared" si="1"/>
        <v>0</v>
      </c>
      <c r="Q6" s="1" t="str">
        <f t="shared" si="2"/>
        <v>High Leisure Screen</v>
      </c>
      <c r="R6" s="2" t="str">
        <f t="shared" si="3"/>
        <v>High Total Screen</v>
      </c>
      <c r="S6" s="2" t="str">
        <f t="shared" si="4"/>
        <v>Lower Exercise</v>
      </c>
      <c r="T6" s="2" t="str">
        <f t="shared" si="5"/>
        <v>Higher Social</v>
      </c>
      <c r="U6" s="1"/>
      <c r="V6" s="3" t="s">
        <v>83</v>
      </c>
      <c r="W6" s="4">
        <f>COUNTIF(Q2:Q401,"High Leisure Screen")</f>
        <v>199</v>
      </c>
      <c r="X6" s="4">
        <f>AVERAGEIF(Q2:Q401,"High Leisure Screen",O2:O401)</f>
        <v>12.97487437</v>
      </c>
      <c r="Y6" s="4">
        <f>AVERAGEIF(Q2:Q401,"High Leisure Screen",L2:L401)</f>
        <v>48.59396985</v>
      </c>
      <c r="AA6" s="1">
        <v>4.09</v>
      </c>
      <c r="AB6" s="2">
        <f t="shared" si="6"/>
        <v>1.627277831</v>
      </c>
    </row>
    <row r="7">
      <c r="A7" s="1" t="s">
        <v>33</v>
      </c>
      <c r="B7" s="1">
        <v>28.0</v>
      </c>
      <c r="C7" s="1" t="s">
        <v>34</v>
      </c>
      <c r="D7" s="1" t="s">
        <v>35</v>
      </c>
      <c r="E7" s="1" t="s">
        <v>27</v>
      </c>
      <c r="F7" s="1">
        <v>9.83</v>
      </c>
      <c r="G7" s="1">
        <v>0.53</v>
      </c>
      <c r="H7" s="1">
        <v>9.3</v>
      </c>
      <c r="I7" s="1">
        <v>7.19</v>
      </c>
      <c r="J7" s="1">
        <v>1.0</v>
      </c>
      <c r="K7" s="1">
        <v>10.0</v>
      </c>
      <c r="L7" s="1">
        <v>44.0</v>
      </c>
      <c r="M7" s="1">
        <v>71.0</v>
      </c>
      <c r="N7" s="1">
        <v>10.3</v>
      </c>
      <c r="O7" s="1">
        <v>5.0</v>
      </c>
      <c r="P7" s="2">
        <f t="shared" si="1"/>
        <v>0</v>
      </c>
      <c r="Q7" s="1" t="str">
        <f t="shared" si="2"/>
        <v>High Leisure Screen</v>
      </c>
      <c r="R7" s="2" t="str">
        <f t="shared" si="3"/>
        <v>High Total Screen</v>
      </c>
      <c r="S7" s="2" t="str">
        <f t="shared" si="4"/>
        <v>Lower Exercise</v>
      </c>
      <c r="T7" s="2" t="str">
        <f t="shared" si="5"/>
        <v>Higher Social</v>
      </c>
      <c r="U7" s="1"/>
      <c r="V7" s="1"/>
      <c r="AA7" s="1">
        <v>0.53</v>
      </c>
      <c r="AB7" s="2">
        <f t="shared" si="6"/>
        <v>0.4252677354</v>
      </c>
    </row>
    <row r="8">
      <c r="A8" s="1" t="s">
        <v>36</v>
      </c>
      <c r="B8" s="1">
        <v>42.0</v>
      </c>
      <c r="C8" s="1" t="s">
        <v>34</v>
      </c>
      <c r="D8" s="1" t="s">
        <v>37</v>
      </c>
      <c r="E8" s="1" t="s">
        <v>18</v>
      </c>
      <c r="F8" s="1">
        <v>6.02</v>
      </c>
      <c r="G8" s="1">
        <v>2.82</v>
      </c>
      <c r="H8" s="1">
        <v>3.2</v>
      </c>
      <c r="I8" s="1">
        <v>7.44</v>
      </c>
      <c r="J8" s="1">
        <v>2.0</v>
      </c>
      <c r="K8" s="1">
        <v>6.1</v>
      </c>
      <c r="L8" s="1">
        <v>64.8</v>
      </c>
      <c r="M8" s="1">
        <v>141.0</v>
      </c>
      <c r="N8" s="1">
        <v>4.7</v>
      </c>
      <c r="O8" s="1">
        <v>43.7</v>
      </c>
      <c r="P8" s="2">
        <f t="shared" si="1"/>
        <v>0</v>
      </c>
      <c r="Q8" s="1" t="str">
        <f t="shared" si="2"/>
        <v>Low Leisure Screen</v>
      </c>
      <c r="R8" s="2" t="str">
        <f t="shared" si="3"/>
        <v>Low Total Screen</v>
      </c>
      <c r="S8" s="2" t="str">
        <f t="shared" si="4"/>
        <v/>
      </c>
      <c r="T8" s="2" t="str">
        <f t="shared" si="5"/>
        <v/>
      </c>
      <c r="U8" s="1"/>
      <c r="V8" s="1"/>
      <c r="AA8" s="1">
        <v>2.82</v>
      </c>
      <c r="AB8" s="2">
        <f t="shared" si="6"/>
        <v>1.340250423</v>
      </c>
    </row>
    <row r="9">
      <c r="A9" s="1" t="s">
        <v>38</v>
      </c>
      <c r="B9" s="1">
        <v>36.0</v>
      </c>
      <c r="C9" s="1" t="s">
        <v>30</v>
      </c>
      <c r="D9" s="1" t="s">
        <v>17</v>
      </c>
      <c r="E9" s="1" t="s">
        <v>23</v>
      </c>
      <c r="F9" s="1">
        <v>6.21</v>
      </c>
      <c r="G9" s="1">
        <v>0.75</v>
      </c>
      <c r="H9" s="1">
        <v>5.46</v>
      </c>
      <c r="I9" s="1">
        <v>6.78</v>
      </c>
      <c r="J9" s="1">
        <v>2.0</v>
      </c>
      <c r="K9" s="1">
        <v>5.4</v>
      </c>
      <c r="L9" s="1">
        <v>87.0</v>
      </c>
      <c r="M9" s="1">
        <v>51.0</v>
      </c>
      <c r="N9" s="1">
        <v>18.7</v>
      </c>
      <c r="O9" s="1">
        <v>54.3</v>
      </c>
      <c r="P9" s="2">
        <f t="shared" si="1"/>
        <v>0</v>
      </c>
      <c r="Q9" s="1" t="str">
        <f t="shared" si="2"/>
        <v>Low Leisure Screen</v>
      </c>
      <c r="R9" s="2" t="str">
        <f t="shared" si="3"/>
        <v>Low Total Screen</v>
      </c>
      <c r="S9" s="2" t="str">
        <f t="shared" si="4"/>
        <v/>
      </c>
      <c r="T9" s="2" t="str">
        <f t="shared" si="5"/>
        <v/>
      </c>
      <c r="U9" s="1"/>
      <c r="V9" s="1"/>
      <c r="AA9" s="1">
        <v>0.75</v>
      </c>
      <c r="AB9" s="2">
        <f t="shared" si="6"/>
        <v>0.5596157879</v>
      </c>
    </row>
    <row r="10">
      <c r="A10" s="1" t="s">
        <v>39</v>
      </c>
      <c r="B10" s="1">
        <v>26.0</v>
      </c>
      <c r="C10" s="1" t="s">
        <v>30</v>
      </c>
      <c r="D10" s="1" t="s">
        <v>32</v>
      </c>
      <c r="E10" s="1" t="s">
        <v>23</v>
      </c>
      <c r="F10" s="1">
        <v>6.28</v>
      </c>
      <c r="G10" s="1">
        <v>0.67</v>
      </c>
      <c r="H10" s="1">
        <v>5.61</v>
      </c>
      <c r="I10" s="1">
        <v>8.48</v>
      </c>
      <c r="J10" s="1">
        <v>4.0</v>
      </c>
      <c r="K10" s="1">
        <v>1.6</v>
      </c>
      <c r="L10" s="1">
        <v>91.7</v>
      </c>
      <c r="M10" s="1">
        <v>149.0</v>
      </c>
      <c r="N10" s="1">
        <v>10.1</v>
      </c>
      <c r="O10" s="1">
        <v>86.8</v>
      </c>
      <c r="P10" s="2">
        <f t="shared" si="1"/>
        <v>0</v>
      </c>
      <c r="Q10" s="1" t="str">
        <f t="shared" si="2"/>
        <v>Low Leisure Screen</v>
      </c>
      <c r="R10" s="2" t="str">
        <f t="shared" si="3"/>
        <v>Low Total Screen</v>
      </c>
      <c r="S10" s="2" t="str">
        <f t="shared" si="4"/>
        <v/>
      </c>
      <c r="T10" s="2" t="str">
        <f t="shared" si="5"/>
        <v/>
      </c>
      <c r="U10" s="5"/>
      <c r="V10" s="6" t="s">
        <v>98</v>
      </c>
      <c r="W10" s="7"/>
      <c r="X10" s="7"/>
      <c r="Y10" s="8"/>
      <c r="AA10" s="1">
        <v>0.67</v>
      </c>
      <c r="AB10" s="2">
        <f t="shared" si="6"/>
        <v>0.5128236264</v>
      </c>
    </row>
    <row r="11">
      <c r="A11" s="1" t="s">
        <v>40</v>
      </c>
      <c r="B11" s="1">
        <v>34.0</v>
      </c>
      <c r="C11" s="1" t="s">
        <v>30</v>
      </c>
      <c r="D11" s="1" t="s">
        <v>17</v>
      </c>
      <c r="E11" s="1" t="s">
        <v>27</v>
      </c>
      <c r="F11" s="1">
        <v>9.37</v>
      </c>
      <c r="G11" s="1">
        <v>0.84</v>
      </c>
      <c r="H11" s="1">
        <v>8.53</v>
      </c>
      <c r="I11" s="1">
        <v>7.78</v>
      </c>
      <c r="J11" s="1">
        <v>2.0</v>
      </c>
      <c r="K11" s="1">
        <v>10.0</v>
      </c>
      <c r="L11" s="1">
        <v>42.2</v>
      </c>
      <c r="M11" s="1">
        <v>50.0</v>
      </c>
      <c r="N11" s="1">
        <v>12.7</v>
      </c>
      <c r="O11" s="1">
        <v>10.7</v>
      </c>
      <c r="P11" s="2">
        <f t="shared" si="1"/>
        <v>0</v>
      </c>
      <c r="Q11" s="1" t="str">
        <f t="shared" si="2"/>
        <v>High Leisure Screen</v>
      </c>
      <c r="R11" s="2" t="str">
        <f t="shared" si="3"/>
        <v>High Total Screen</v>
      </c>
      <c r="S11" s="2" t="str">
        <f t="shared" si="4"/>
        <v>Lower Exercise</v>
      </c>
      <c r="T11" s="2" t="str">
        <f t="shared" si="5"/>
        <v>Higher Social</v>
      </c>
      <c r="U11" s="9"/>
      <c r="V11" s="10" t="s">
        <v>104</v>
      </c>
      <c r="W11" s="10" t="s">
        <v>106</v>
      </c>
      <c r="X11" s="10" t="s">
        <v>107</v>
      </c>
      <c r="Y11" s="10" t="s">
        <v>108</v>
      </c>
      <c r="AA11" s="1">
        <v>0.84</v>
      </c>
      <c r="AB11" s="2">
        <f t="shared" si="6"/>
        <v>0.6097655716</v>
      </c>
    </row>
    <row r="12">
      <c r="A12" s="1" t="s">
        <v>41</v>
      </c>
      <c r="B12" s="1">
        <v>26.0</v>
      </c>
      <c r="C12" s="1" t="s">
        <v>30</v>
      </c>
      <c r="D12" s="1" t="s">
        <v>32</v>
      </c>
      <c r="E12" s="1" t="s">
        <v>18</v>
      </c>
      <c r="F12" s="1">
        <v>9.87</v>
      </c>
      <c r="G12" s="1">
        <v>3.02</v>
      </c>
      <c r="H12" s="1">
        <v>6.85</v>
      </c>
      <c r="I12" s="1">
        <v>6.4</v>
      </c>
      <c r="J12" s="1">
        <v>1.0</v>
      </c>
      <c r="K12" s="1">
        <v>8.8</v>
      </c>
      <c r="L12" s="1">
        <v>55.9</v>
      </c>
      <c r="M12" s="1">
        <v>87.0</v>
      </c>
      <c r="N12" s="1">
        <v>6.2</v>
      </c>
      <c r="O12" s="1">
        <v>21.8</v>
      </c>
      <c r="P12" s="2">
        <f t="shared" si="1"/>
        <v>0</v>
      </c>
      <c r="Q12" s="1" t="str">
        <f t="shared" si="2"/>
        <v>High Leisure Screen</v>
      </c>
      <c r="R12" s="2" t="str">
        <f t="shared" si="3"/>
        <v>High Total Screen</v>
      </c>
      <c r="S12" s="2" t="str">
        <f t="shared" si="4"/>
        <v>Lower Exercise</v>
      </c>
      <c r="T12" s="2" t="str">
        <f t="shared" si="5"/>
        <v>Lower Social</v>
      </c>
      <c r="U12" s="1"/>
      <c r="V12" s="3" t="s">
        <v>112</v>
      </c>
      <c r="W12" s="11">
        <v>201.0</v>
      </c>
      <c r="X12" s="11">
        <v>199.0</v>
      </c>
      <c r="Y12" s="11" t="s">
        <v>114</v>
      </c>
      <c r="AA12" s="1">
        <v>3.02</v>
      </c>
      <c r="AB12" s="2">
        <f t="shared" si="6"/>
        <v>1.391281903</v>
      </c>
    </row>
    <row r="13">
      <c r="A13" s="1" t="s">
        <v>42</v>
      </c>
      <c r="B13" s="1">
        <v>26.0</v>
      </c>
      <c r="C13" s="1" t="s">
        <v>16</v>
      </c>
      <c r="D13" s="1" t="s">
        <v>43</v>
      </c>
      <c r="E13" s="1" t="s">
        <v>27</v>
      </c>
      <c r="F13" s="1">
        <v>4.96</v>
      </c>
      <c r="G13" s="1">
        <v>0.25</v>
      </c>
      <c r="H13" s="1">
        <v>4.71</v>
      </c>
      <c r="I13" s="1">
        <v>8.01</v>
      </c>
      <c r="J13" s="1">
        <v>3.0</v>
      </c>
      <c r="K13" s="1">
        <v>4.6</v>
      </c>
      <c r="L13" s="1">
        <v>88.4</v>
      </c>
      <c r="M13" s="1">
        <v>188.0</v>
      </c>
      <c r="N13" s="1">
        <v>12.5</v>
      </c>
      <c r="O13" s="1">
        <v>74.3</v>
      </c>
      <c r="P13" s="2">
        <f t="shared" si="1"/>
        <v>0</v>
      </c>
      <c r="Q13" s="1" t="str">
        <f t="shared" si="2"/>
        <v>Low Leisure Screen</v>
      </c>
      <c r="R13" s="2" t="str">
        <f t="shared" si="3"/>
        <v>Low Total Screen</v>
      </c>
      <c r="S13" s="2" t="str">
        <f t="shared" si="4"/>
        <v/>
      </c>
      <c r="T13" s="2" t="str">
        <f t="shared" si="5"/>
        <v/>
      </c>
      <c r="U13" s="1"/>
      <c r="V13" s="3" t="s">
        <v>119</v>
      </c>
      <c r="W13" s="11">
        <v>27.61</v>
      </c>
      <c r="X13" s="11">
        <v>12.97</v>
      </c>
      <c r="Y13" s="12">
        <v>1.128</v>
      </c>
      <c r="AA13" s="1">
        <v>0.25</v>
      </c>
      <c r="AB13" s="2">
        <f t="shared" si="6"/>
        <v>0.2231435513</v>
      </c>
    </row>
    <row r="14">
      <c r="A14" s="1" t="s">
        <v>44</v>
      </c>
      <c r="B14" s="1">
        <v>31.0</v>
      </c>
      <c r="C14" s="1" t="s">
        <v>16</v>
      </c>
      <c r="D14" s="1" t="s">
        <v>32</v>
      </c>
      <c r="E14" s="1" t="s">
        <v>18</v>
      </c>
      <c r="F14" s="1">
        <v>12.55</v>
      </c>
      <c r="G14" s="1">
        <v>6.8</v>
      </c>
      <c r="H14" s="1">
        <v>5.75</v>
      </c>
      <c r="I14" s="1">
        <v>6.96</v>
      </c>
      <c r="J14" s="1">
        <v>1.0</v>
      </c>
      <c r="K14" s="1">
        <v>10.0</v>
      </c>
      <c r="L14" s="1">
        <v>33.0</v>
      </c>
      <c r="M14" s="1">
        <v>139.0</v>
      </c>
      <c r="N14" s="1">
        <v>11.3</v>
      </c>
      <c r="O14" s="1">
        <v>0.0</v>
      </c>
      <c r="P14" s="2">
        <f t="shared" si="1"/>
        <v>0</v>
      </c>
      <c r="Q14" s="1" t="str">
        <f t="shared" si="2"/>
        <v>Low Leisure Screen</v>
      </c>
      <c r="R14" s="2" t="str">
        <f t="shared" si="3"/>
        <v>High Total Screen</v>
      </c>
      <c r="S14" s="2" t="str">
        <f t="shared" si="4"/>
        <v>Higher Exercise</v>
      </c>
      <c r="T14" s="2" t="str">
        <f t="shared" si="5"/>
        <v>Higher Social</v>
      </c>
      <c r="U14" s="1"/>
      <c r="V14" s="3" t="s">
        <v>124</v>
      </c>
      <c r="W14" s="11">
        <v>59.96</v>
      </c>
      <c r="X14" s="11">
        <v>48.59</v>
      </c>
      <c r="Y14" s="12">
        <v>0.234</v>
      </c>
      <c r="AA14" s="1">
        <v>6.8</v>
      </c>
      <c r="AB14" s="2">
        <f t="shared" si="6"/>
        <v>2.054123734</v>
      </c>
    </row>
    <row r="15">
      <c r="A15" s="1" t="s">
        <v>45</v>
      </c>
      <c r="B15" s="1">
        <v>16.0</v>
      </c>
      <c r="C15" s="1" t="s">
        <v>16</v>
      </c>
      <c r="D15" s="1" t="s">
        <v>17</v>
      </c>
      <c r="E15" s="1" t="s">
        <v>18</v>
      </c>
      <c r="F15" s="1">
        <v>7.86</v>
      </c>
      <c r="G15" s="1">
        <v>4.33</v>
      </c>
      <c r="H15" s="1">
        <v>3.53</v>
      </c>
      <c r="I15" s="1">
        <v>7.59</v>
      </c>
      <c r="J15" s="1">
        <v>2.0</v>
      </c>
      <c r="K15" s="1">
        <v>6.3</v>
      </c>
      <c r="L15" s="1">
        <v>70.7</v>
      </c>
      <c r="M15" s="1">
        <v>102.0</v>
      </c>
      <c r="N15" s="1">
        <v>8.6</v>
      </c>
      <c r="O15" s="1">
        <v>40.9</v>
      </c>
      <c r="P15" s="2">
        <f t="shared" si="1"/>
        <v>0</v>
      </c>
      <c r="Q15" s="1" t="str">
        <f t="shared" si="2"/>
        <v>Low Leisure Screen</v>
      </c>
      <c r="R15" s="2" t="str">
        <f t="shared" si="3"/>
        <v>Low Total Screen</v>
      </c>
      <c r="S15" s="2" t="str">
        <f t="shared" si="4"/>
        <v/>
      </c>
      <c r="T15" s="2" t="str">
        <f t="shared" si="5"/>
        <v/>
      </c>
      <c r="AA15" s="1">
        <v>4.33</v>
      </c>
      <c r="AB15" s="2">
        <f t="shared" si="6"/>
        <v>1.673351238</v>
      </c>
    </row>
    <row r="16">
      <c r="A16" s="1" t="s">
        <v>46</v>
      </c>
      <c r="B16" s="1">
        <v>16.0</v>
      </c>
      <c r="C16" s="1" t="s">
        <v>30</v>
      </c>
      <c r="D16" s="1" t="s">
        <v>17</v>
      </c>
      <c r="E16" s="1" t="s">
        <v>27</v>
      </c>
      <c r="F16" s="1">
        <v>9.07</v>
      </c>
      <c r="G16" s="1">
        <v>0.79</v>
      </c>
      <c r="H16" s="1">
        <v>8.28</v>
      </c>
      <c r="I16" s="1">
        <v>5.54</v>
      </c>
      <c r="J16" s="1">
        <v>1.0</v>
      </c>
      <c r="K16" s="1">
        <v>10.0</v>
      </c>
      <c r="L16" s="1">
        <v>53.2</v>
      </c>
      <c r="M16" s="1">
        <v>0.0</v>
      </c>
      <c r="N16" s="1">
        <v>0.0</v>
      </c>
      <c r="O16" s="1">
        <v>10.7</v>
      </c>
      <c r="P16" s="2">
        <f t="shared" si="1"/>
        <v>0</v>
      </c>
      <c r="Q16" s="1" t="str">
        <f t="shared" si="2"/>
        <v>High Leisure Screen</v>
      </c>
      <c r="R16" s="2" t="str">
        <f t="shared" si="3"/>
        <v>Low Total Screen</v>
      </c>
      <c r="S16" s="2" t="str">
        <f t="shared" si="4"/>
        <v/>
      </c>
      <c r="T16" s="2" t="str">
        <f t="shared" si="5"/>
        <v/>
      </c>
      <c r="U16" s="9"/>
      <c r="V16" s="9" t="s">
        <v>22</v>
      </c>
      <c r="W16" s="9" t="s">
        <v>132</v>
      </c>
      <c r="X16" s="9"/>
      <c r="Y16" s="9"/>
      <c r="AA16" s="1">
        <v>0.79</v>
      </c>
      <c r="AB16" s="2">
        <f t="shared" si="6"/>
        <v>0.5822156199</v>
      </c>
    </row>
    <row r="17">
      <c r="A17" s="1" t="s">
        <v>47</v>
      </c>
      <c r="B17" s="1">
        <v>25.0</v>
      </c>
      <c r="C17" s="1" t="s">
        <v>30</v>
      </c>
      <c r="D17" s="1" t="s">
        <v>17</v>
      </c>
      <c r="E17" s="1" t="s">
        <v>27</v>
      </c>
      <c r="F17" s="1">
        <v>13.49</v>
      </c>
      <c r="G17" s="1">
        <v>2.82</v>
      </c>
      <c r="H17" s="1">
        <v>10.67</v>
      </c>
      <c r="I17" s="1">
        <v>7.13</v>
      </c>
      <c r="J17" s="1">
        <v>1.0</v>
      </c>
      <c r="K17" s="1">
        <v>10.0</v>
      </c>
      <c r="L17" s="1">
        <v>37.6</v>
      </c>
      <c r="M17" s="1">
        <v>284.0</v>
      </c>
      <c r="N17" s="1">
        <v>2.8</v>
      </c>
      <c r="O17" s="1">
        <v>0.0</v>
      </c>
      <c r="P17" s="2">
        <f t="shared" si="1"/>
        <v>0</v>
      </c>
      <c r="Q17" s="1" t="str">
        <f t="shared" si="2"/>
        <v>High Leisure Screen</v>
      </c>
      <c r="R17" s="2" t="str">
        <f t="shared" si="3"/>
        <v>High Total Screen</v>
      </c>
      <c r="S17" s="2" t="str">
        <f t="shared" si="4"/>
        <v>Higher Exercise</v>
      </c>
      <c r="T17" s="2" t="str">
        <f t="shared" si="5"/>
        <v>Lower Social</v>
      </c>
      <c r="U17" s="1"/>
      <c r="V17" s="1" t="s">
        <v>137</v>
      </c>
      <c r="W17" s="13">
        <f>COUNTIF(R2:R401,"Low Total Screen")</f>
        <v>200</v>
      </c>
      <c r="X17" s="13"/>
      <c r="Y17" s="13"/>
      <c r="AA17" s="1">
        <v>2.82</v>
      </c>
      <c r="AB17" s="2">
        <f t="shared" si="6"/>
        <v>1.340250423</v>
      </c>
    </row>
    <row r="18">
      <c r="A18" s="1" t="s">
        <v>48</v>
      </c>
      <c r="B18" s="1">
        <v>21.0</v>
      </c>
      <c r="C18" s="1" t="s">
        <v>16</v>
      </c>
      <c r="D18" s="1" t="s">
        <v>17</v>
      </c>
      <c r="E18" s="1" t="s">
        <v>23</v>
      </c>
      <c r="F18" s="1">
        <v>8.86</v>
      </c>
      <c r="G18" s="1">
        <v>0.82</v>
      </c>
      <c r="H18" s="1">
        <v>8.04</v>
      </c>
      <c r="I18" s="1">
        <v>6.53</v>
      </c>
      <c r="J18" s="1">
        <v>1.0</v>
      </c>
      <c r="K18" s="1">
        <v>10.0</v>
      </c>
      <c r="L18" s="1">
        <v>60.3</v>
      </c>
      <c r="M18" s="1">
        <v>223.0</v>
      </c>
      <c r="N18" s="1">
        <v>13.1</v>
      </c>
      <c r="O18" s="1">
        <v>10.5</v>
      </c>
      <c r="P18" s="2">
        <f t="shared" si="1"/>
        <v>0</v>
      </c>
      <c r="Q18" s="1" t="str">
        <f t="shared" si="2"/>
        <v>High Leisure Screen</v>
      </c>
      <c r="R18" s="2" t="str">
        <f t="shared" si="3"/>
        <v>Low Total Screen</v>
      </c>
      <c r="S18" s="2" t="str">
        <f t="shared" si="4"/>
        <v/>
      </c>
      <c r="T18" s="2" t="str">
        <f t="shared" si="5"/>
        <v/>
      </c>
      <c r="U18" s="1"/>
      <c r="V18" s="1" t="s">
        <v>143</v>
      </c>
      <c r="W18" s="13">
        <f>COUNTIF(R2:R401,"High Total Screen")</f>
        <v>200</v>
      </c>
      <c r="X18" s="13">
        <f>AVERAGEIF(R2:R401,"High Total Screen",M2:M401)</f>
        <v>98.3</v>
      </c>
      <c r="Y18" s="14">
        <f>AVERAGEIF(R2:R401,"High Total Screen",N2:N401)</f>
        <v>6.9955</v>
      </c>
      <c r="AA18" s="1">
        <v>0.82</v>
      </c>
      <c r="AB18" s="2">
        <f t="shared" si="6"/>
        <v>0.5988365011</v>
      </c>
    </row>
    <row r="19">
      <c r="A19" s="1" t="s">
        <v>49</v>
      </c>
      <c r="B19" s="1">
        <v>32.0</v>
      </c>
      <c r="C19" s="1" t="s">
        <v>30</v>
      </c>
      <c r="D19" s="1" t="s">
        <v>35</v>
      </c>
      <c r="E19" s="1" t="s">
        <v>27</v>
      </c>
      <c r="F19" s="1">
        <v>7.13</v>
      </c>
      <c r="G19" s="1">
        <v>0.82</v>
      </c>
      <c r="H19" s="1">
        <v>6.31</v>
      </c>
      <c r="I19" s="1">
        <v>7.06</v>
      </c>
      <c r="J19" s="1">
        <v>1.0</v>
      </c>
      <c r="K19" s="1">
        <v>7.0</v>
      </c>
      <c r="L19" s="1">
        <v>49.0</v>
      </c>
      <c r="M19" s="1">
        <v>167.0</v>
      </c>
      <c r="N19" s="1">
        <v>11.6</v>
      </c>
      <c r="O19" s="1">
        <v>29.5</v>
      </c>
      <c r="P19" s="2">
        <f t="shared" si="1"/>
        <v>0</v>
      </c>
      <c r="Q19" s="1" t="str">
        <f t="shared" si="2"/>
        <v>Low Leisure Screen</v>
      </c>
      <c r="R19" s="2" t="str">
        <f t="shared" si="3"/>
        <v>Low Total Screen</v>
      </c>
      <c r="S19" s="2" t="str">
        <f t="shared" si="4"/>
        <v/>
      </c>
      <c r="T19" s="2" t="str">
        <f t="shared" si="5"/>
        <v/>
      </c>
      <c r="X19" s="13"/>
      <c r="Y19" s="13"/>
      <c r="AA19" s="1">
        <v>0.82</v>
      </c>
      <c r="AB19" s="2">
        <f t="shared" si="6"/>
        <v>0.5988365011</v>
      </c>
    </row>
    <row r="20">
      <c r="A20" s="1" t="s">
        <v>50</v>
      </c>
      <c r="B20" s="1">
        <v>22.0</v>
      </c>
      <c r="C20" s="1" t="s">
        <v>30</v>
      </c>
      <c r="D20" s="1" t="s">
        <v>32</v>
      </c>
      <c r="E20" s="1" t="s">
        <v>27</v>
      </c>
      <c r="F20" s="1">
        <v>8.18</v>
      </c>
      <c r="G20" s="1">
        <v>0.7</v>
      </c>
      <c r="H20" s="1">
        <v>7.48</v>
      </c>
      <c r="I20" s="1">
        <v>9.2</v>
      </c>
      <c r="J20" s="1">
        <v>3.0</v>
      </c>
      <c r="K20" s="1">
        <v>4.2</v>
      </c>
      <c r="L20" s="1">
        <v>85.1</v>
      </c>
      <c r="M20" s="1">
        <v>52.0</v>
      </c>
      <c r="N20" s="1">
        <v>11.2</v>
      </c>
      <c r="O20" s="1">
        <v>68.9</v>
      </c>
      <c r="P20" s="2">
        <f t="shared" si="1"/>
        <v>0</v>
      </c>
      <c r="Q20" s="1" t="str">
        <f t="shared" si="2"/>
        <v>High Leisure Screen</v>
      </c>
      <c r="R20" s="2" t="str">
        <f t="shared" si="3"/>
        <v>Low Total Screen</v>
      </c>
      <c r="S20" s="2" t="str">
        <f t="shared" si="4"/>
        <v/>
      </c>
      <c r="T20" s="2" t="str">
        <f t="shared" si="5"/>
        <v/>
      </c>
      <c r="U20" s="1"/>
      <c r="V20" s="1" t="s">
        <v>155</v>
      </c>
      <c r="W20" s="13">
        <f>IFERROR(__xludf.DUMMYFUNCTION("CORREL(
FILTER(M2:M401,R2:R401=""High Total Screen""),
FILTER(O2:O401,R2:R401=""High Total Screen"")
)"),0.09839163729799255)</f>
        <v>0.0983916373</v>
      </c>
      <c r="AA20" s="1">
        <v>0.7</v>
      </c>
      <c r="AB20" s="2">
        <f t="shared" si="6"/>
        <v>0.5306282511</v>
      </c>
    </row>
    <row r="21">
      <c r="A21" s="1" t="s">
        <v>51</v>
      </c>
      <c r="B21" s="1">
        <v>18.0</v>
      </c>
      <c r="C21" s="1" t="s">
        <v>16</v>
      </c>
      <c r="D21" s="1" t="s">
        <v>32</v>
      </c>
      <c r="E21" s="1" t="s">
        <v>18</v>
      </c>
      <c r="F21" s="1">
        <v>10.26</v>
      </c>
      <c r="G21" s="1">
        <v>5.73</v>
      </c>
      <c r="H21" s="1">
        <v>4.53</v>
      </c>
      <c r="I21" s="1">
        <v>6.98</v>
      </c>
      <c r="J21" s="1">
        <v>1.0</v>
      </c>
      <c r="K21" s="1">
        <v>9.4</v>
      </c>
      <c r="L21" s="1">
        <v>52.0</v>
      </c>
      <c r="M21" s="1">
        <v>82.0</v>
      </c>
      <c r="N21" s="1">
        <v>1.5</v>
      </c>
      <c r="O21" s="1">
        <v>10.8</v>
      </c>
      <c r="P21" s="2">
        <f t="shared" si="1"/>
        <v>0</v>
      </c>
      <c r="Q21" s="1" t="str">
        <f t="shared" si="2"/>
        <v>Low Leisure Screen</v>
      </c>
      <c r="R21" s="2" t="str">
        <f t="shared" si="3"/>
        <v>High Total Screen</v>
      </c>
      <c r="S21" s="2" t="str">
        <f t="shared" si="4"/>
        <v>Lower Exercise</v>
      </c>
      <c r="T21" s="2" t="str">
        <f t="shared" si="5"/>
        <v>Lower Social</v>
      </c>
      <c r="U21" s="1"/>
      <c r="V21" s="1" t="s">
        <v>160</v>
      </c>
      <c r="W21" s="2">
        <f>IFERROR(__xludf.DUMMYFUNCTION("CORREL(
FILTER(N2:N401,R2:R401=""High Total Screen""),
FILTER(O2:O401,R2:R401=""High Total Screen"")
)"),-0.12072642053556505)</f>
        <v>-0.1207264205</v>
      </c>
      <c r="AA21" s="1">
        <v>5.73</v>
      </c>
      <c r="AB21" s="2">
        <f t="shared" si="6"/>
        <v>1.906575144</v>
      </c>
    </row>
    <row r="22">
      <c r="A22" s="1" t="s">
        <v>52</v>
      </c>
      <c r="B22" s="1">
        <v>41.0</v>
      </c>
      <c r="C22" s="1" t="s">
        <v>16</v>
      </c>
      <c r="D22" s="1" t="s">
        <v>32</v>
      </c>
      <c r="E22" s="1" t="s">
        <v>18</v>
      </c>
      <c r="F22" s="1">
        <v>10.14</v>
      </c>
      <c r="G22" s="1">
        <v>3.29</v>
      </c>
      <c r="H22" s="1">
        <v>6.85</v>
      </c>
      <c r="I22" s="1">
        <v>6.68</v>
      </c>
      <c r="J22" s="1">
        <v>1.0</v>
      </c>
      <c r="K22" s="1">
        <v>10.0</v>
      </c>
      <c r="L22" s="1">
        <v>48.1</v>
      </c>
      <c r="M22" s="1">
        <v>65.0</v>
      </c>
      <c r="N22" s="1">
        <v>2.8</v>
      </c>
      <c r="O22" s="1">
        <v>0.0</v>
      </c>
      <c r="P22" s="2">
        <f t="shared" si="1"/>
        <v>0</v>
      </c>
      <c r="Q22" s="1" t="str">
        <f t="shared" si="2"/>
        <v>High Leisure Screen</v>
      </c>
      <c r="R22" s="2" t="str">
        <f t="shared" si="3"/>
        <v>High Total Screen</v>
      </c>
      <c r="S22" s="2" t="str">
        <f t="shared" si="4"/>
        <v>Lower Exercise</v>
      </c>
      <c r="T22" s="2" t="str">
        <f t="shared" si="5"/>
        <v>Lower Social</v>
      </c>
      <c r="AA22" s="1">
        <v>3.29</v>
      </c>
      <c r="AB22" s="2">
        <f t="shared" si="6"/>
        <v>1.456286733</v>
      </c>
    </row>
    <row r="23">
      <c r="A23" s="1" t="s">
        <v>53</v>
      </c>
      <c r="B23" s="1">
        <v>28.0</v>
      </c>
      <c r="C23" s="1" t="s">
        <v>30</v>
      </c>
      <c r="D23" s="1" t="s">
        <v>43</v>
      </c>
      <c r="E23" s="1" t="s">
        <v>18</v>
      </c>
      <c r="F23" s="1">
        <v>7.52</v>
      </c>
      <c r="G23" s="1">
        <v>2.89</v>
      </c>
      <c r="H23" s="1">
        <v>4.63</v>
      </c>
      <c r="I23" s="1">
        <v>5.49</v>
      </c>
      <c r="J23" s="1">
        <v>1.0</v>
      </c>
      <c r="K23" s="1">
        <v>8.1</v>
      </c>
      <c r="L23" s="1">
        <v>53.1</v>
      </c>
      <c r="M23" s="1">
        <v>200.0</v>
      </c>
      <c r="N23" s="1">
        <v>13.2</v>
      </c>
      <c r="O23" s="1">
        <v>18.2</v>
      </c>
      <c r="P23" s="2">
        <f t="shared" si="1"/>
        <v>0</v>
      </c>
      <c r="Q23" s="1" t="str">
        <f t="shared" si="2"/>
        <v>Low Leisure Screen</v>
      </c>
      <c r="R23" s="2" t="str">
        <f t="shared" si="3"/>
        <v>Low Total Screen</v>
      </c>
      <c r="S23" s="2" t="str">
        <f t="shared" si="4"/>
        <v/>
      </c>
      <c r="T23" s="2" t="str">
        <f t="shared" si="5"/>
        <v/>
      </c>
      <c r="U23" s="1"/>
      <c r="V23" s="15" t="s">
        <v>167</v>
      </c>
      <c r="W23" s="15" t="s">
        <v>132</v>
      </c>
      <c r="X23" s="15" t="s">
        <v>68</v>
      </c>
      <c r="AA23" s="1">
        <v>2.89</v>
      </c>
      <c r="AB23" s="2">
        <f t="shared" si="6"/>
        <v>1.358409158</v>
      </c>
    </row>
    <row r="24">
      <c r="A24" s="1" t="s">
        <v>54</v>
      </c>
      <c r="B24" s="1">
        <v>30.0</v>
      </c>
      <c r="C24" s="1" t="s">
        <v>30</v>
      </c>
      <c r="D24" s="1" t="s">
        <v>35</v>
      </c>
      <c r="E24" s="1" t="s">
        <v>23</v>
      </c>
      <c r="F24" s="1">
        <v>7.67</v>
      </c>
      <c r="G24" s="1">
        <v>1.65</v>
      </c>
      <c r="H24" s="1">
        <v>6.02</v>
      </c>
      <c r="I24" s="1">
        <v>8.36</v>
      </c>
      <c r="J24" s="1">
        <v>3.0</v>
      </c>
      <c r="K24" s="1">
        <v>5.1</v>
      </c>
      <c r="L24" s="1">
        <v>76.4</v>
      </c>
      <c r="M24" s="1">
        <v>130.0</v>
      </c>
      <c r="N24" s="1">
        <v>8.9</v>
      </c>
      <c r="O24" s="1">
        <v>53.5</v>
      </c>
      <c r="P24" s="2">
        <f t="shared" si="1"/>
        <v>0</v>
      </c>
      <c r="Q24" s="1" t="str">
        <f t="shared" si="2"/>
        <v>Low Leisure Screen</v>
      </c>
      <c r="R24" s="2" t="str">
        <f t="shared" si="3"/>
        <v>Low Total Screen</v>
      </c>
      <c r="S24" s="2" t="str">
        <f t="shared" si="4"/>
        <v/>
      </c>
      <c r="T24" s="2" t="str">
        <f t="shared" si="5"/>
        <v/>
      </c>
      <c r="U24" s="1"/>
      <c r="V24" s="3" t="s">
        <v>169</v>
      </c>
      <c r="W24" s="4">
        <f>COUNTIF(S2:S401,"Lower Exercise")</f>
        <v>116</v>
      </c>
      <c r="X24" s="4">
        <f>AVERAGEIF(S2:S401,"Lower Exercise",O2:O401)</f>
        <v>9.022413793</v>
      </c>
      <c r="AA24" s="1">
        <v>1.65</v>
      </c>
      <c r="AB24" s="2">
        <f t="shared" si="6"/>
        <v>0.97455964</v>
      </c>
    </row>
    <row r="25">
      <c r="A25" s="1" t="s">
        <v>55</v>
      </c>
      <c r="B25" s="1">
        <v>18.0</v>
      </c>
      <c r="C25" s="1" t="s">
        <v>30</v>
      </c>
      <c r="D25" s="1" t="s">
        <v>17</v>
      </c>
      <c r="E25" s="1" t="s">
        <v>18</v>
      </c>
      <c r="F25" s="1">
        <v>5.74</v>
      </c>
      <c r="G25" s="1">
        <v>2.33</v>
      </c>
      <c r="H25" s="1">
        <v>3.41</v>
      </c>
      <c r="I25" s="1">
        <v>6.34</v>
      </c>
      <c r="J25" s="1">
        <v>1.0</v>
      </c>
      <c r="K25" s="1">
        <v>3.7</v>
      </c>
      <c r="L25" s="1">
        <v>77.3</v>
      </c>
      <c r="M25" s="1">
        <v>63.0</v>
      </c>
      <c r="N25" s="1">
        <v>17.6</v>
      </c>
      <c r="O25" s="1">
        <v>48.7</v>
      </c>
      <c r="P25" s="2">
        <f t="shared" si="1"/>
        <v>0</v>
      </c>
      <c r="Q25" s="1" t="str">
        <f t="shared" si="2"/>
        <v>Low Leisure Screen</v>
      </c>
      <c r="R25" s="2" t="str">
        <f t="shared" si="3"/>
        <v>Low Total Screen</v>
      </c>
      <c r="S25" s="2" t="str">
        <f t="shared" si="4"/>
        <v/>
      </c>
      <c r="T25" s="2" t="str">
        <f t="shared" si="5"/>
        <v/>
      </c>
      <c r="U25" s="1"/>
      <c r="V25" s="3" t="s">
        <v>175</v>
      </c>
      <c r="W25" s="4">
        <f>COUNTIF(S2:S401,"Higher Exercise")</f>
        <v>84</v>
      </c>
      <c r="X25" s="4">
        <f>AVERAGEIF(S2:S401,"Higher Exercise",O2:O401)</f>
        <v>11.00238095</v>
      </c>
      <c r="AA25" s="1">
        <v>2.33</v>
      </c>
      <c r="AB25" s="2">
        <f t="shared" si="6"/>
        <v>1.202972304</v>
      </c>
    </row>
    <row r="26">
      <c r="A26" s="1" t="s">
        <v>56</v>
      </c>
      <c r="B26" s="1">
        <v>25.0</v>
      </c>
      <c r="C26" s="1" t="s">
        <v>30</v>
      </c>
      <c r="D26" s="1" t="s">
        <v>17</v>
      </c>
      <c r="E26" s="1" t="s">
        <v>23</v>
      </c>
      <c r="F26" s="1">
        <v>8.93</v>
      </c>
      <c r="G26" s="1">
        <v>0.45</v>
      </c>
      <c r="H26" s="1">
        <v>8.48</v>
      </c>
      <c r="I26" s="1">
        <v>6.21</v>
      </c>
      <c r="J26" s="1">
        <v>1.0</v>
      </c>
      <c r="K26" s="1">
        <v>9.8</v>
      </c>
      <c r="L26" s="1">
        <v>50.3</v>
      </c>
      <c r="M26" s="1">
        <v>69.0</v>
      </c>
      <c r="N26" s="1">
        <v>8.5</v>
      </c>
      <c r="O26" s="1">
        <v>0.7</v>
      </c>
      <c r="P26" s="2">
        <f t="shared" si="1"/>
        <v>0</v>
      </c>
      <c r="Q26" s="1" t="str">
        <f t="shared" si="2"/>
        <v>High Leisure Screen</v>
      </c>
      <c r="R26" s="2" t="str">
        <f t="shared" si="3"/>
        <v>Low Total Screen</v>
      </c>
      <c r="S26" s="2" t="str">
        <f t="shared" si="4"/>
        <v/>
      </c>
      <c r="T26" s="2" t="str">
        <f t="shared" si="5"/>
        <v/>
      </c>
      <c r="AA26" s="1">
        <v>0.45</v>
      </c>
      <c r="AB26" s="2">
        <f t="shared" si="6"/>
        <v>0.3715635564</v>
      </c>
    </row>
    <row r="27">
      <c r="A27" s="1" t="s">
        <v>57</v>
      </c>
      <c r="B27" s="1">
        <v>30.0</v>
      </c>
      <c r="C27" s="1" t="s">
        <v>30</v>
      </c>
      <c r="D27" s="1" t="s">
        <v>17</v>
      </c>
      <c r="E27" s="1" t="s">
        <v>27</v>
      </c>
      <c r="F27" s="1">
        <v>7.05</v>
      </c>
      <c r="G27" s="1">
        <v>0.8</v>
      </c>
      <c r="H27" s="1">
        <v>6.25</v>
      </c>
      <c r="I27" s="1">
        <v>7.08</v>
      </c>
      <c r="J27" s="1">
        <v>1.0</v>
      </c>
      <c r="K27" s="1">
        <v>10.0</v>
      </c>
      <c r="L27" s="1">
        <v>51.0</v>
      </c>
      <c r="M27" s="1">
        <v>194.0</v>
      </c>
      <c r="N27" s="1">
        <v>8.6</v>
      </c>
      <c r="O27" s="1">
        <v>1.8</v>
      </c>
      <c r="P27" s="2">
        <f t="shared" si="1"/>
        <v>0</v>
      </c>
      <c r="Q27" s="1" t="str">
        <f t="shared" si="2"/>
        <v>Low Leisure Screen</v>
      </c>
      <c r="R27" s="2" t="str">
        <f t="shared" si="3"/>
        <v>Low Total Screen</v>
      </c>
      <c r="S27" s="2" t="str">
        <f t="shared" si="4"/>
        <v/>
      </c>
      <c r="T27" s="2" t="str">
        <f t="shared" si="5"/>
        <v/>
      </c>
      <c r="V27" s="15" t="s">
        <v>182</v>
      </c>
      <c r="W27" s="15" t="s">
        <v>183</v>
      </c>
      <c r="X27" s="15" t="s">
        <v>185</v>
      </c>
      <c r="AA27" s="1">
        <v>0.8</v>
      </c>
      <c r="AB27" s="2">
        <f t="shared" si="6"/>
        <v>0.5877866649</v>
      </c>
    </row>
    <row r="28">
      <c r="A28" s="1" t="s">
        <v>58</v>
      </c>
      <c r="B28" s="1">
        <v>20.0</v>
      </c>
      <c r="C28" s="1" t="s">
        <v>30</v>
      </c>
      <c r="D28" s="1" t="s">
        <v>32</v>
      </c>
      <c r="E28" s="1" t="s">
        <v>18</v>
      </c>
      <c r="F28" s="1">
        <v>11.3</v>
      </c>
      <c r="G28" s="1">
        <v>5.17</v>
      </c>
      <c r="H28" s="1">
        <v>6.13</v>
      </c>
      <c r="I28" s="1">
        <v>7.74</v>
      </c>
      <c r="J28" s="1">
        <v>2.0</v>
      </c>
      <c r="K28" s="1">
        <v>10.0</v>
      </c>
      <c r="L28" s="1">
        <v>53.3</v>
      </c>
      <c r="M28" s="1">
        <v>197.0</v>
      </c>
      <c r="N28" s="1">
        <v>7.4</v>
      </c>
      <c r="O28" s="1">
        <v>4.6</v>
      </c>
      <c r="P28" s="2">
        <f t="shared" si="1"/>
        <v>0</v>
      </c>
      <c r="Q28" s="1" t="str">
        <f t="shared" si="2"/>
        <v>Low Leisure Screen</v>
      </c>
      <c r="R28" s="2" t="str">
        <f t="shared" si="3"/>
        <v>High Total Screen</v>
      </c>
      <c r="S28" s="2" t="str">
        <f t="shared" si="4"/>
        <v>Higher Exercise</v>
      </c>
      <c r="T28" s="2" t="str">
        <f t="shared" si="5"/>
        <v>Lower Social</v>
      </c>
      <c r="V28" s="3" t="s">
        <v>188</v>
      </c>
      <c r="W28" s="4">
        <f>COUNTIF(T2:T401,"Lower Social")</f>
        <v>117</v>
      </c>
      <c r="X28" s="4">
        <f>AVERAGEIF(T2:T401,"Lower Social",O2:O401)</f>
        <v>10.8982906</v>
      </c>
      <c r="AA28" s="1">
        <v>5.17</v>
      </c>
      <c r="AB28" s="2">
        <f t="shared" si="6"/>
        <v>1.819698838</v>
      </c>
    </row>
    <row r="29">
      <c r="A29" s="1" t="s">
        <v>59</v>
      </c>
      <c r="B29" s="1">
        <v>33.0</v>
      </c>
      <c r="C29" s="1" t="s">
        <v>30</v>
      </c>
      <c r="D29" s="1" t="s">
        <v>43</v>
      </c>
      <c r="E29" s="1" t="s">
        <v>23</v>
      </c>
      <c r="F29" s="1">
        <v>6.61</v>
      </c>
      <c r="G29" s="1">
        <v>0.33</v>
      </c>
      <c r="H29" s="1">
        <v>6.28</v>
      </c>
      <c r="I29" s="1">
        <v>8.06</v>
      </c>
      <c r="J29" s="1">
        <v>2.0</v>
      </c>
      <c r="K29" s="1">
        <v>7.0</v>
      </c>
      <c r="L29" s="1">
        <v>60.0</v>
      </c>
      <c r="M29" s="1">
        <v>227.0</v>
      </c>
      <c r="N29" s="1">
        <v>3.5</v>
      </c>
      <c r="O29" s="1">
        <v>42.8</v>
      </c>
      <c r="P29" s="2">
        <f t="shared" si="1"/>
        <v>0</v>
      </c>
      <c r="Q29" s="1" t="str">
        <f t="shared" si="2"/>
        <v>Low Leisure Screen</v>
      </c>
      <c r="R29" s="2" t="str">
        <f t="shared" si="3"/>
        <v>Low Total Screen</v>
      </c>
      <c r="S29" s="2" t="str">
        <f t="shared" si="4"/>
        <v/>
      </c>
      <c r="T29" s="2" t="str">
        <f t="shared" si="5"/>
        <v/>
      </c>
      <c r="V29" s="3" t="s">
        <v>195</v>
      </c>
      <c r="W29" s="4">
        <f>COUNTIF(T2:T401,"Higher Social")</f>
        <v>83</v>
      </c>
      <c r="X29" s="4">
        <f>AVERAGEIF(T2:T401,"Higher Social",O2:O401)</f>
        <v>8.381927711</v>
      </c>
      <c r="AA29" s="1">
        <v>0.33</v>
      </c>
      <c r="AB29" s="2">
        <f t="shared" si="6"/>
        <v>0.2851789422</v>
      </c>
    </row>
    <row r="30">
      <c r="A30" s="1" t="s">
        <v>60</v>
      </c>
      <c r="B30" s="1">
        <v>25.0</v>
      </c>
      <c r="C30" s="1" t="s">
        <v>30</v>
      </c>
      <c r="D30" s="1" t="s">
        <v>17</v>
      </c>
      <c r="E30" s="1" t="s">
        <v>27</v>
      </c>
      <c r="F30" s="1">
        <v>7.43</v>
      </c>
      <c r="G30" s="1">
        <v>0.73</v>
      </c>
      <c r="H30" s="1">
        <v>6.7</v>
      </c>
      <c r="I30" s="1">
        <v>7.11</v>
      </c>
      <c r="J30" s="1">
        <v>2.0</v>
      </c>
      <c r="K30" s="1">
        <v>7.6</v>
      </c>
      <c r="L30" s="1">
        <v>61.1</v>
      </c>
      <c r="M30" s="1">
        <v>164.0</v>
      </c>
      <c r="N30" s="1">
        <v>0.0</v>
      </c>
      <c r="O30" s="1">
        <v>28.9</v>
      </c>
      <c r="P30" s="2">
        <f t="shared" si="1"/>
        <v>0</v>
      </c>
      <c r="Q30" s="1" t="str">
        <f t="shared" si="2"/>
        <v>Low Leisure Screen</v>
      </c>
      <c r="R30" s="2" t="str">
        <f t="shared" si="3"/>
        <v>Low Total Screen</v>
      </c>
      <c r="S30" s="2" t="str">
        <f t="shared" si="4"/>
        <v/>
      </c>
      <c r="T30" s="2" t="str">
        <f t="shared" si="5"/>
        <v/>
      </c>
      <c r="AA30" s="1">
        <v>0.73</v>
      </c>
      <c r="AB30" s="2">
        <f t="shared" si="6"/>
        <v>0.5481214085</v>
      </c>
    </row>
    <row r="31">
      <c r="A31" s="1" t="s">
        <v>61</v>
      </c>
      <c r="B31" s="1">
        <v>27.0</v>
      </c>
      <c r="C31" s="1" t="s">
        <v>16</v>
      </c>
      <c r="D31" s="1" t="s">
        <v>17</v>
      </c>
      <c r="E31" s="1" t="s">
        <v>23</v>
      </c>
      <c r="F31" s="1">
        <v>9.57</v>
      </c>
      <c r="G31" s="1">
        <v>0.48</v>
      </c>
      <c r="H31" s="1">
        <v>9.09</v>
      </c>
      <c r="I31" s="1">
        <v>7.18</v>
      </c>
      <c r="J31" s="1">
        <v>1.0</v>
      </c>
      <c r="K31" s="1">
        <v>10.0</v>
      </c>
      <c r="L31" s="1">
        <v>38.0</v>
      </c>
      <c r="M31" s="1">
        <v>81.0</v>
      </c>
      <c r="N31" s="1">
        <v>9.1</v>
      </c>
      <c r="O31" s="1">
        <v>0.9</v>
      </c>
      <c r="P31" s="2">
        <f t="shared" si="1"/>
        <v>0</v>
      </c>
      <c r="Q31" s="1" t="str">
        <f t="shared" si="2"/>
        <v>High Leisure Screen</v>
      </c>
      <c r="R31" s="2" t="str">
        <f t="shared" si="3"/>
        <v>High Total Screen</v>
      </c>
      <c r="S31" s="2" t="str">
        <f t="shared" si="4"/>
        <v>Lower Exercise</v>
      </c>
      <c r="T31" s="2" t="str">
        <f t="shared" si="5"/>
        <v>Higher Social</v>
      </c>
      <c r="V31" s="1" t="s">
        <v>205</v>
      </c>
      <c r="AA31" s="1">
        <v>0.48</v>
      </c>
      <c r="AB31" s="2">
        <f t="shared" si="6"/>
        <v>0.3920420878</v>
      </c>
    </row>
    <row r="32">
      <c r="A32" s="1" t="s">
        <v>62</v>
      </c>
      <c r="B32" s="1">
        <v>25.0</v>
      </c>
      <c r="C32" s="1" t="s">
        <v>16</v>
      </c>
      <c r="D32" s="1" t="s">
        <v>17</v>
      </c>
      <c r="E32" s="1" t="s">
        <v>23</v>
      </c>
      <c r="F32" s="1">
        <v>6.37</v>
      </c>
      <c r="G32" s="1">
        <v>0.78</v>
      </c>
      <c r="H32" s="1">
        <v>5.59</v>
      </c>
      <c r="I32" s="1">
        <v>6.91</v>
      </c>
      <c r="J32" s="1">
        <v>1.0</v>
      </c>
      <c r="K32" s="1">
        <v>8.5</v>
      </c>
      <c r="L32" s="1">
        <v>52.1</v>
      </c>
      <c r="M32" s="1">
        <v>0.0</v>
      </c>
      <c r="N32" s="1">
        <v>8.9</v>
      </c>
      <c r="O32" s="1">
        <v>11.1</v>
      </c>
      <c r="P32" s="2">
        <f t="shared" si="1"/>
        <v>0</v>
      </c>
      <c r="Q32" s="1" t="str">
        <f t="shared" si="2"/>
        <v>Low Leisure Screen</v>
      </c>
      <c r="R32" s="2" t="str">
        <f t="shared" si="3"/>
        <v>Low Total Screen</v>
      </c>
      <c r="S32" s="2" t="str">
        <f t="shared" si="4"/>
        <v/>
      </c>
      <c r="T32" s="2" t="str">
        <f t="shared" si="5"/>
        <v/>
      </c>
      <c r="V32" s="16" t="s">
        <v>209</v>
      </c>
      <c r="W32" s="17" t="s">
        <v>211</v>
      </c>
      <c r="X32" s="15" t="s">
        <v>212</v>
      </c>
      <c r="AA32" s="1">
        <v>0.78</v>
      </c>
      <c r="AB32" s="2">
        <f t="shared" si="6"/>
        <v>0.5766133643</v>
      </c>
    </row>
    <row r="33">
      <c r="A33" s="1" t="s">
        <v>63</v>
      </c>
      <c r="B33" s="1">
        <v>44.0</v>
      </c>
      <c r="C33" s="1" t="s">
        <v>16</v>
      </c>
      <c r="D33" s="1" t="s">
        <v>32</v>
      </c>
      <c r="E33" s="1" t="s">
        <v>18</v>
      </c>
      <c r="F33" s="1">
        <v>14.35</v>
      </c>
      <c r="G33" s="1">
        <v>7.54</v>
      </c>
      <c r="H33" s="1">
        <v>6.81</v>
      </c>
      <c r="I33" s="1">
        <v>6.5</v>
      </c>
      <c r="J33" s="1">
        <v>1.0</v>
      </c>
      <c r="K33" s="1">
        <v>10.0</v>
      </c>
      <c r="L33" s="1">
        <v>42.6</v>
      </c>
      <c r="M33" s="1">
        <v>100.0</v>
      </c>
      <c r="N33" s="1">
        <v>5.1</v>
      </c>
      <c r="O33" s="1">
        <v>0.0</v>
      </c>
      <c r="P33" s="2">
        <f t="shared" si="1"/>
        <v>0</v>
      </c>
      <c r="Q33" s="1" t="str">
        <f t="shared" si="2"/>
        <v>High Leisure Screen</v>
      </c>
      <c r="R33" s="2" t="str">
        <f t="shared" si="3"/>
        <v>High Total Screen</v>
      </c>
      <c r="S33" s="2" t="str">
        <f t="shared" si="4"/>
        <v>Lower Exercise</v>
      </c>
      <c r="T33" s="2" t="str">
        <f t="shared" si="5"/>
        <v>Lower Social</v>
      </c>
      <c r="V33" s="3" t="s">
        <v>216</v>
      </c>
      <c r="W33" s="18">
        <f>+0.581</f>
        <v>0.581</v>
      </c>
      <c r="X33" s="3" t="s">
        <v>219</v>
      </c>
      <c r="AA33" s="1">
        <v>7.54</v>
      </c>
      <c r="AB33" s="2">
        <f t="shared" si="6"/>
        <v>2.144761008</v>
      </c>
    </row>
    <row r="34">
      <c r="A34" s="1" t="s">
        <v>64</v>
      </c>
      <c r="B34" s="1">
        <v>29.0</v>
      </c>
      <c r="C34" s="1" t="s">
        <v>30</v>
      </c>
      <c r="D34" s="1" t="s">
        <v>32</v>
      </c>
      <c r="E34" s="1" t="s">
        <v>18</v>
      </c>
      <c r="F34" s="1">
        <v>6.89</v>
      </c>
      <c r="G34" s="1">
        <v>1.25</v>
      </c>
      <c r="H34" s="1">
        <v>5.64</v>
      </c>
      <c r="I34" s="1">
        <v>7.42</v>
      </c>
      <c r="J34" s="1">
        <v>1.0</v>
      </c>
      <c r="K34" s="1">
        <v>7.0</v>
      </c>
      <c r="L34" s="1">
        <v>60.3</v>
      </c>
      <c r="M34" s="1">
        <v>116.0</v>
      </c>
      <c r="N34" s="1">
        <v>0.2</v>
      </c>
      <c r="O34" s="1">
        <v>17.2</v>
      </c>
      <c r="P34" s="2">
        <f t="shared" si="1"/>
        <v>0</v>
      </c>
      <c r="Q34" s="1" t="str">
        <f t="shared" si="2"/>
        <v>Low Leisure Screen</v>
      </c>
      <c r="R34" s="2" t="str">
        <f t="shared" si="3"/>
        <v>Low Total Screen</v>
      </c>
      <c r="S34" s="2" t="str">
        <f t="shared" si="4"/>
        <v/>
      </c>
      <c r="T34" s="2" t="str">
        <f t="shared" si="5"/>
        <v/>
      </c>
      <c r="V34" s="3" t="s">
        <v>223</v>
      </c>
      <c r="W34" s="18">
        <f>+0.75</f>
        <v>0.75</v>
      </c>
      <c r="X34" s="3" t="s">
        <v>225</v>
      </c>
      <c r="AA34" s="1">
        <v>1.25</v>
      </c>
      <c r="AB34" s="2">
        <f t="shared" si="6"/>
        <v>0.8109302162</v>
      </c>
    </row>
    <row r="35">
      <c r="A35" s="1" t="s">
        <v>65</v>
      </c>
      <c r="B35" s="1">
        <v>21.0</v>
      </c>
      <c r="C35" s="1" t="s">
        <v>30</v>
      </c>
      <c r="D35" s="1" t="s">
        <v>17</v>
      </c>
      <c r="E35" s="1" t="s">
        <v>27</v>
      </c>
      <c r="F35" s="1">
        <v>11.38</v>
      </c>
      <c r="G35" s="1">
        <v>0.57</v>
      </c>
      <c r="H35" s="1">
        <v>10.81</v>
      </c>
      <c r="I35" s="1">
        <v>7.38</v>
      </c>
      <c r="J35" s="1">
        <v>1.0</v>
      </c>
      <c r="K35" s="1">
        <v>9.9</v>
      </c>
      <c r="L35" s="1">
        <v>57.0</v>
      </c>
      <c r="M35" s="1">
        <v>95.0</v>
      </c>
      <c r="N35" s="1">
        <v>11.4</v>
      </c>
      <c r="O35" s="1">
        <v>2.4</v>
      </c>
      <c r="P35" s="2">
        <f t="shared" si="1"/>
        <v>0</v>
      </c>
      <c r="Q35" s="1" t="str">
        <f t="shared" si="2"/>
        <v>High Leisure Screen</v>
      </c>
      <c r="R35" s="2" t="str">
        <f t="shared" si="3"/>
        <v>High Total Screen</v>
      </c>
      <c r="S35" s="2" t="str">
        <f t="shared" si="4"/>
        <v>Lower Exercise</v>
      </c>
      <c r="T35" s="2" t="str">
        <f t="shared" si="5"/>
        <v>Higher Social</v>
      </c>
      <c r="V35" s="3" t="s">
        <v>228</v>
      </c>
      <c r="W35" s="11">
        <v>-0.914</v>
      </c>
      <c r="X35" s="3" t="s">
        <v>230</v>
      </c>
      <c r="AA35" s="1">
        <v>0.57</v>
      </c>
      <c r="AB35" s="2">
        <f t="shared" si="6"/>
        <v>0.4510756194</v>
      </c>
    </row>
    <row r="36">
      <c r="A36" s="1" t="s">
        <v>66</v>
      </c>
      <c r="B36" s="1">
        <v>36.0</v>
      </c>
      <c r="C36" s="1" t="s">
        <v>30</v>
      </c>
      <c r="D36" s="1" t="s">
        <v>32</v>
      </c>
      <c r="E36" s="1" t="s">
        <v>23</v>
      </c>
      <c r="F36" s="1">
        <v>13.05</v>
      </c>
      <c r="G36" s="1">
        <v>0.65</v>
      </c>
      <c r="H36" s="1">
        <v>12.4</v>
      </c>
      <c r="I36" s="1">
        <v>7.28</v>
      </c>
      <c r="J36" s="1">
        <v>1.0</v>
      </c>
      <c r="K36" s="1">
        <v>10.0</v>
      </c>
      <c r="L36" s="1">
        <v>39.6</v>
      </c>
      <c r="M36" s="1">
        <v>86.0</v>
      </c>
      <c r="N36" s="1">
        <v>4.2</v>
      </c>
      <c r="O36" s="1">
        <v>0.0</v>
      </c>
      <c r="P36" s="2">
        <f t="shared" si="1"/>
        <v>0</v>
      </c>
      <c r="Q36" s="1" t="str">
        <f t="shared" si="2"/>
        <v>High Leisure Screen</v>
      </c>
      <c r="R36" s="2" t="str">
        <f t="shared" si="3"/>
        <v>High Total Screen</v>
      </c>
      <c r="S36" s="2" t="str">
        <f t="shared" si="4"/>
        <v>Lower Exercise</v>
      </c>
      <c r="T36" s="2" t="str">
        <f t="shared" si="5"/>
        <v>Lower Social</v>
      </c>
      <c r="AA36" s="1">
        <v>0.65</v>
      </c>
      <c r="AB36" s="2">
        <f t="shared" si="6"/>
        <v>0.5007752879</v>
      </c>
    </row>
    <row r="37">
      <c r="A37" s="1" t="s">
        <v>69</v>
      </c>
      <c r="B37" s="1">
        <v>20.0</v>
      </c>
      <c r="C37" s="1" t="s">
        <v>16</v>
      </c>
      <c r="D37" s="1" t="s">
        <v>17</v>
      </c>
      <c r="E37" s="1" t="s">
        <v>18</v>
      </c>
      <c r="F37" s="1">
        <v>7.47</v>
      </c>
      <c r="G37" s="1">
        <v>3.01</v>
      </c>
      <c r="H37" s="1">
        <v>4.46</v>
      </c>
      <c r="I37" s="1">
        <v>7.57</v>
      </c>
      <c r="J37" s="1">
        <v>1.0</v>
      </c>
      <c r="K37" s="1">
        <v>8.4</v>
      </c>
      <c r="L37" s="1">
        <v>53.6</v>
      </c>
      <c r="M37" s="1">
        <v>15.0</v>
      </c>
      <c r="N37" s="1">
        <v>14.3</v>
      </c>
      <c r="O37" s="1">
        <v>14.8</v>
      </c>
      <c r="P37" s="2">
        <f t="shared" si="1"/>
        <v>0</v>
      </c>
      <c r="Q37" s="1" t="str">
        <f t="shared" si="2"/>
        <v>Low Leisure Screen</v>
      </c>
      <c r="R37" s="2" t="str">
        <f t="shared" si="3"/>
        <v>Low Total Screen</v>
      </c>
      <c r="S37" s="2" t="str">
        <f t="shared" si="4"/>
        <v/>
      </c>
      <c r="T37" s="2" t="str">
        <f t="shared" si="5"/>
        <v/>
      </c>
      <c r="AA37" s="1">
        <v>3.01</v>
      </c>
      <c r="AB37" s="2">
        <f t="shared" si="6"/>
        <v>1.388791241</v>
      </c>
    </row>
    <row r="38">
      <c r="A38" s="1" t="s">
        <v>71</v>
      </c>
      <c r="B38" s="1">
        <v>31.0</v>
      </c>
      <c r="C38" s="1" t="s">
        <v>16</v>
      </c>
      <c r="D38" s="1" t="s">
        <v>32</v>
      </c>
      <c r="E38" s="1" t="s">
        <v>27</v>
      </c>
      <c r="F38" s="1">
        <v>9.93</v>
      </c>
      <c r="G38" s="1">
        <v>1.89</v>
      </c>
      <c r="H38" s="1">
        <v>8.04</v>
      </c>
      <c r="I38" s="1">
        <v>6.63</v>
      </c>
      <c r="J38" s="1">
        <v>1.0</v>
      </c>
      <c r="K38" s="1">
        <v>9.5</v>
      </c>
      <c r="L38" s="1">
        <v>45.7</v>
      </c>
      <c r="M38" s="1">
        <v>138.0</v>
      </c>
      <c r="N38" s="1">
        <v>15.2</v>
      </c>
      <c r="O38" s="1">
        <v>2.2</v>
      </c>
      <c r="P38" s="2">
        <f t="shared" si="1"/>
        <v>0</v>
      </c>
      <c r="Q38" s="1" t="str">
        <f t="shared" si="2"/>
        <v>High Leisure Screen</v>
      </c>
      <c r="R38" s="2" t="str">
        <f t="shared" si="3"/>
        <v>High Total Screen</v>
      </c>
      <c r="S38" s="2" t="str">
        <f t="shared" si="4"/>
        <v>Higher Exercise</v>
      </c>
      <c r="T38" s="2" t="str">
        <f t="shared" si="5"/>
        <v>Higher Social</v>
      </c>
      <c r="V38" s="5"/>
      <c r="W38" s="19"/>
      <c r="AA38" s="1">
        <v>1.89</v>
      </c>
      <c r="AB38" s="2">
        <f t="shared" si="6"/>
        <v>1.061256502</v>
      </c>
    </row>
    <row r="39">
      <c r="A39" s="1" t="s">
        <v>72</v>
      </c>
      <c r="B39" s="1">
        <v>16.0</v>
      </c>
      <c r="C39" s="1" t="s">
        <v>16</v>
      </c>
      <c r="D39" s="1" t="s">
        <v>17</v>
      </c>
      <c r="E39" s="1" t="s">
        <v>27</v>
      </c>
      <c r="F39" s="1">
        <v>8.08</v>
      </c>
      <c r="G39" s="1">
        <v>1.25</v>
      </c>
      <c r="H39" s="1">
        <v>6.83</v>
      </c>
      <c r="I39" s="1">
        <v>7.64</v>
      </c>
      <c r="J39" s="1">
        <v>3.0</v>
      </c>
      <c r="K39" s="1">
        <v>6.5</v>
      </c>
      <c r="L39" s="1">
        <v>68.1</v>
      </c>
      <c r="M39" s="1">
        <v>147.0</v>
      </c>
      <c r="N39" s="1">
        <v>0.0</v>
      </c>
      <c r="O39" s="1">
        <v>57.6</v>
      </c>
      <c r="P39" s="2">
        <f t="shared" si="1"/>
        <v>0</v>
      </c>
      <c r="Q39" s="1" t="str">
        <f t="shared" si="2"/>
        <v>High Leisure Screen</v>
      </c>
      <c r="R39" s="2" t="str">
        <f t="shared" si="3"/>
        <v>Low Total Screen</v>
      </c>
      <c r="S39" s="2" t="str">
        <f t="shared" si="4"/>
        <v/>
      </c>
      <c r="T39" s="2" t="str">
        <f t="shared" si="5"/>
        <v/>
      </c>
      <c r="V39" s="1"/>
      <c r="W39" s="20"/>
      <c r="AA39" s="1">
        <v>1.25</v>
      </c>
      <c r="AB39" s="2">
        <f t="shared" si="6"/>
        <v>0.8109302162</v>
      </c>
    </row>
    <row r="40">
      <c r="A40" s="1" t="s">
        <v>73</v>
      </c>
      <c r="B40" s="1">
        <v>19.0</v>
      </c>
      <c r="C40" s="1" t="s">
        <v>16</v>
      </c>
      <c r="D40" s="1" t="s">
        <v>17</v>
      </c>
      <c r="E40" s="1" t="s">
        <v>23</v>
      </c>
      <c r="F40" s="1">
        <v>7.88</v>
      </c>
      <c r="G40" s="1">
        <v>0.39</v>
      </c>
      <c r="H40" s="1">
        <v>7.49</v>
      </c>
      <c r="I40" s="1">
        <v>7.03</v>
      </c>
      <c r="J40" s="1">
        <v>1.0</v>
      </c>
      <c r="K40" s="1">
        <v>9.0</v>
      </c>
      <c r="L40" s="1">
        <v>49.8</v>
      </c>
      <c r="M40" s="1">
        <v>153.0</v>
      </c>
      <c r="N40" s="1">
        <v>7.6</v>
      </c>
      <c r="O40" s="1">
        <v>17.7</v>
      </c>
      <c r="P40" s="2">
        <f t="shared" si="1"/>
        <v>0</v>
      </c>
      <c r="Q40" s="1" t="str">
        <f t="shared" si="2"/>
        <v>High Leisure Screen</v>
      </c>
      <c r="R40" s="2" t="str">
        <f t="shared" si="3"/>
        <v>Low Total Screen</v>
      </c>
      <c r="S40" s="2" t="str">
        <f t="shared" si="4"/>
        <v/>
      </c>
      <c r="T40" s="2" t="str">
        <f t="shared" si="5"/>
        <v/>
      </c>
      <c r="V40" s="1"/>
      <c r="W40" s="20"/>
      <c r="AA40" s="1">
        <v>0.39</v>
      </c>
      <c r="AB40" s="2">
        <f t="shared" si="6"/>
        <v>0.3293037471</v>
      </c>
    </row>
    <row r="41">
      <c r="A41" s="1" t="s">
        <v>75</v>
      </c>
      <c r="B41" s="1">
        <v>31.0</v>
      </c>
      <c r="C41" s="1" t="s">
        <v>30</v>
      </c>
      <c r="D41" s="1" t="s">
        <v>17</v>
      </c>
      <c r="E41" s="1" t="s">
        <v>18</v>
      </c>
      <c r="F41" s="1">
        <v>8.81</v>
      </c>
      <c r="G41" s="1">
        <v>3.92</v>
      </c>
      <c r="H41" s="1">
        <v>4.89</v>
      </c>
      <c r="I41" s="1">
        <v>6.22</v>
      </c>
      <c r="J41" s="1">
        <v>1.0</v>
      </c>
      <c r="K41" s="1">
        <v>10.0</v>
      </c>
      <c r="L41" s="1">
        <v>51.6</v>
      </c>
      <c r="M41" s="1">
        <v>172.0</v>
      </c>
      <c r="N41" s="1">
        <v>5.7</v>
      </c>
      <c r="O41" s="1">
        <v>12.5</v>
      </c>
      <c r="P41" s="2">
        <f t="shared" si="1"/>
        <v>0</v>
      </c>
      <c r="Q41" s="1" t="str">
        <f t="shared" si="2"/>
        <v>Low Leisure Screen</v>
      </c>
      <c r="R41" s="2" t="str">
        <f t="shared" si="3"/>
        <v>Low Total Screen</v>
      </c>
      <c r="S41" s="2" t="str">
        <f t="shared" si="4"/>
        <v/>
      </c>
      <c r="T41" s="2" t="str">
        <f t="shared" si="5"/>
        <v/>
      </c>
      <c r="V41" s="1"/>
      <c r="W41" s="13"/>
      <c r="AA41" s="1">
        <v>3.92</v>
      </c>
      <c r="AB41" s="2">
        <f t="shared" si="6"/>
        <v>1.593308531</v>
      </c>
    </row>
    <row r="42">
      <c r="A42" s="1" t="s">
        <v>76</v>
      </c>
      <c r="B42" s="1">
        <v>35.0</v>
      </c>
      <c r="C42" s="1" t="s">
        <v>16</v>
      </c>
      <c r="D42" s="1" t="s">
        <v>17</v>
      </c>
      <c r="E42" s="1" t="s">
        <v>23</v>
      </c>
      <c r="F42" s="1">
        <v>5.65</v>
      </c>
      <c r="G42" s="1">
        <v>0.36</v>
      </c>
      <c r="H42" s="1">
        <v>5.29</v>
      </c>
      <c r="I42" s="1">
        <v>7.28</v>
      </c>
      <c r="J42" s="1">
        <v>2.0</v>
      </c>
      <c r="K42" s="1">
        <v>7.2</v>
      </c>
      <c r="L42" s="1">
        <v>67.4</v>
      </c>
      <c r="M42" s="1">
        <v>169.0</v>
      </c>
      <c r="N42" s="1">
        <v>19.4</v>
      </c>
      <c r="O42" s="1">
        <v>35.2</v>
      </c>
      <c r="P42" s="2">
        <f t="shared" si="1"/>
        <v>0</v>
      </c>
      <c r="Q42" s="1" t="str">
        <f t="shared" si="2"/>
        <v>Low Leisure Screen</v>
      </c>
      <c r="R42" s="2" t="str">
        <f t="shared" si="3"/>
        <v>Low Total Screen</v>
      </c>
      <c r="S42" s="2" t="str">
        <f t="shared" si="4"/>
        <v/>
      </c>
      <c r="T42" s="2" t="str">
        <f t="shared" si="5"/>
        <v/>
      </c>
      <c r="AA42" s="1">
        <v>0.36</v>
      </c>
      <c r="AB42" s="2">
        <f t="shared" si="6"/>
        <v>0.3074846997</v>
      </c>
    </row>
    <row r="43">
      <c r="A43" s="1" t="s">
        <v>77</v>
      </c>
      <c r="B43" s="1">
        <v>31.0</v>
      </c>
      <c r="C43" s="1" t="s">
        <v>16</v>
      </c>
      <c r="D43" s="1" t="s">
        <v>17</v>
      </c>
      <c r="E43" s="1" t="s">
        <v>23</v>
      </c>
      <c r="F43" s="1">
        <v>9.31</v>
      </c>
      <c r="G43" s="1">
        <v>0.65</v>
      </c>
      <c r="H43" s="1">
        <v>8.66</v>
      </c>
      <c r="I43" s="1">
        <v>7.08</v>
      </c>
      <c r="J43" s="1">
        <v>2.0</v>
      </c>
      <c r="K43" s="1">
        <v>8.4</v>
      </c>
      <c r="L43" s="1">
        <v>51.7</v>
      </c>
      <c r="M43" s="1">
        <v>74.0</v>
      </c>
      <c r="N43" s="1">
        <v>1.1</v>
      </c>
      <c r="O43" s="1">
        <v>30.4</v>
      </c>
      <c r="P43" s="2">
        <f t="shared" si="1"/>
        <v>0</v>
      </c>
      <c r="Q43" s="1" t="str">
        <f t="shared" si="2"/>
        <v>High Leisure Screen</v>
      </c>
      <c r="R43" s="2" t="str">
        <f t="shared" si="3"/>
        <v>High Total Screen</v>
      </c>
      <c r="S43" s="2" t="str">
        <f t="shared" si="4"/>
        <v>Lower Exercise</v>
      </c>
      <c r="T43" s="2" t="str">
        <f t="shared" si="5"/>
        <v>Lower Social</v>
      </c>
      <c r="AA43" s="1">
        <v>0.65</v>
      </c>
      <c r="AB43" s="2">
        <f t="shared" si="6"/>
        <v>0.5007752879</v>
      </c>
    </row>
    <row r="44">
      <c r="A44" s="1" t="s">
        <v>78</v>
      </c>
      <c r="B44" s="1">
        <v>29.0</v>
      </c>
      <c r="C44" s="1" t="s">
        <v>30</v>
      </c>
      <c r="D44" s="1" t="s">
        <v>17</v>
      </c>
      <c r="E44" s="1" t="s">
        <v>18</v>
      </c>
      <c r="F44" s="1">
        <v>7.72</v>
      </c>
      <c r="G44" s="1">
        <v>5.52</v>
      </c>
      <c r="H44" s="1">
        <v>2.2</v>
      </c>
      <c r="I44" s="1">
        <v>7.96</v>
      </c>
      <c r="J44" s="1">
        <v>3.0</v>
      </c>
      <c r="K44" s="1">
        <v>3.8</v>
      </c>
      <c r="L44" s="1">
        <v>77.7</v>
      </c>
      <c r="M44" s="1">
        <v>106.0</v>
      </c>
      <c r="N44" s="1">
        <v>17.5</v>
      </c>
      <c r="O44" s="1">
        <v>62.2</v>
      </c>
      <c r="P44" s="2">
        <f t="shared" si="1"/>
        <v>0</v>
      </c>
      <c r="Q44" s="1" t="str">
        <f t="shared" si="2"/>
        <v>Low Leisure Screen</v>
      </c>
      <c r="R44" s="2" t="str">
        <f t="shared" si="3"/>
        <v>Low Total Screen</v>
      </c>
      <c r="S44" s="2" t="str">
        <f t="shared" si="4"/>
        <v/>
      </c>
      <c r="T44" s="2" t="str">
        <f t="shared" si="5"/>
        <v/>
      </c>
      <c r="AA44" s="1">
        <v>5.52</v>
      </c>
      <c r="AB44" s="2">
        <f t="shared" si="6"/>
        <v>1.874874376</v>
      </c>
    </row>
    <row r="45">
      <c r="A45" s="1" t="s">
        <v>79</v>
      </c>
      <c r="B45" s="1">
        <v>27.0</v>
      </c>
      <c r="C45" s="1" t="s">
        <v>16</v>
      </c>
      <c r="D45" s="1" t="s">
        <v>17</v>
      </c>
      <c r="E45" s="1" t="s">
        <v>18</v>
      </c>
      <c r="F45" s="1">
        <v>11.81</v>
      </c>
      <c r="G45" s="1">
        <v>4.64</v>
      </c>
      <c r="H45" s="1">
        <v>7.17</v>
      </c>
      <c r="I45" s="1">
        <v>6.45</v>
      </c>
      <c r="J45" s="1">
        <v>1.0</v>
      </c>
      <c r="K45" s="1">
        <v>10.0</v>
      </c>
      <c r="L45" s="1">
        <v>37.6</v>
      </c>
      <c r="M45" s="1">
        <v>92.0</v>
      </c>
      <c r="N45" s="1">
        <v>3.5</v>
      </c>
      <c r="O45" s="1">
        <v>0.0</v>
      </c>
      <c r="P45" s="2">
        <f t="shared" si="1"/>
        <v>0</v>
      </c>
      <c r="Q45" s="1" t="str">
        <f t="shared" si="2"/>
        <v>High Leisure Screen</v>
      </c>
      <c r="R45" s="2" t="str">
        <f t="shared" si="3"/>
        <v>High Total Screen</v>
      </c>
      <c r="S45" s="2" t="str">
        <f t="shared" si="4"/>
        <v>Lower Exercise</v>
      </c>
      <c r="T45" s="2" t="str">
        <f t="shared" si="5"/>
        <v>Lower Social</v>
      </c>
      <c r="AA45" s="1">
        <v>4.64</v>
      </c>
      <c r="AB45" s="2">
        <f t="shared" si="6"/>
        <v>1.729884066</v>
      </c>
    </row>
    <row r="46">
      <c r="A46" s="1" t="s">
        <v>80</v>
      </c>
      <c r="B46" s="1">
        <v>18.0</v>
      </c>
      <c r="C46" s="1" t="s">
        <v>16</v>
      </c>
      <c r="D46" s="1" t="s">
        <v>17</v>
      </c>
      <c r="E46" s="1" t="s">
        <v>23</v>
      </c>
      <c r="F46" s="1">
        <v>6.71</v>
      </c>
      <c r="G46" s="1">
        <v>0.74</v>
      </c>
      <c r="H46" s="1">
        <v>5.97</v>
      </c>
      <c r="I46" s="1">
        <v>6.31</v>
      </c>
      <c r="J46" s="1">
        <v>1.0</v>
      </c>
      <c r="K46" s="1">
        <v>7.4</v>
      </c>
      <c r="L46" s="1">
        <v>58.8</v>
      </c>
      <c r="M46" s="1">
        <v>119.0</v>
      </c>
      <c r="N46" s="1">
        <v>8.0</v>
      </c>
      <c r="O46" s="1">
        <v>23.3</v>
      </c>
      <c r="P46" s="2">
        <f t="shared" si="1"/>
        <v>0</v>
      </c>
      <c r="Q46" s="1" t="str">
        <f t="shared" si="2"/>
        <v>Low Leisure Screen</v>
      </c>
      <c r="R46" s="2" t="str">
        <f t="shared" si="3"/>
        <v>Low Total Screen</v>
      </c>
      <c r="S46" s="2" t="str">
        <f t="shared" si="4"/>
        <v/>
      </c>
      <c r="T46" s="2" t="str">
        <f t="shared" si="5"/>
        <v/>
      </c>
      <c r="AA46" s="1">
        <v>0.74</v>
      </c>
      <c r="AB46" s="2">
        <f t="shared" si="6"/>
        <v>0.5538851132</v>
      </c>
    </row>
    <row r="47">
      <c r="A47" s="1" t="s">
        <v>81</v>
      </c>
      <c r="B47" s="1">
        <v>24.0</v>
      </c>
      <c r="C47" s="1" t="s">
        <v>30</v>
      </c>
      <c r="D47" s="1" t="s">
        <v>43</v>
      </c>
      <c r="E47" s="1" t="s">
        <v>18</v>
      </c>
      <c r="F47" s="1">
        <v>6.1</v>
      </c>
      <c r="G47" s="1">
        <v>1.57</v>
      </c>
      <c r="H47" s="1">
        <v>4.53</v>
      </c>
      <c r="I47" s="1">
        <v>7.47</v>
      </c>
      <c r="J47" s="1">
        <v>1.0</v>
      </c>
      <c r="K47" s="1">
        <v>4.1</v>
      </c>
      <c r="L47" s="1">
        <v>79.6</v>
      </c>
      <c r="M47" s="1">
        <v>188.0</v>
      </c>
      <c r="N47" s="1">
        <v>8.0</v>
      </c>
      <c r="O47" s="1">
        <v>53.0</v>
      </c>
      <c r="P47" s="2">
        <f t="shared" si="1"/>
        <v>0</v>
      </c>
      <c r="Q47" s="1" t="str">
        <f t="shared" si="2"/>
        <v>Low Leisure Screen</v>
      </c>
      <c r="R47" s="2" t="str">
        <f t="shared" si="3"/>
        <v>Low Total Screen</v>
      </c>
      <c r="S47" s="2" t="str">
        <f t="shared" si="4"/>
        <v/>
      </c>
      <c r="T47" s="2" t="str">
        <f t="shared" si="5"/>
        <v/>
      </c>
      <c r="AA47" s="1">
        <v>1.57</v>
      </c>
      <c r="AB47" s="2">
        <f t="shared" si="6"/>
        <v>0.9439058989</v>
      </c>
    </row>
    <row r="48">
      <c r="A48" s="1" t="s">
        <v>82</v>
      </c>
      <c r="B48" s="1">
        <v>26.0</v>
      </c>
      <c r="C48" s="1" t="s">
        <v>16</v>
      </c>
      <c r="D48" s="1" t="s">
        <v>17</v>
      </c>
      <c r="E48" s="1" t="s">
        <v>23</v>
      </c>
      <c r="F48" s="1">
        <v>7.46</v>
      </c>
      <c r="G48" s="1">
        <v>1.45</v>
      </c>
      <c r="H48" s="1">
        <v>6.01</v>
      </c>
      <c r="I48" s="1">
        <v>7.33</v>
      </c>
      <c r="J48" s="1">
        <v>2.0</v>
      </c>
      <c r="K48" s="1">
        <v>8.9</v>
      </c>
      <c r="L48" s="1">
        <v>49.2</v>
      </c>
      <c r="M48" s="1">
        <v>156.0</v>
      </c>
      <c r="N48" s="1">
        <v>8.4</v>
      </c>
      <c r="O48" s="1">
        <v>23.7</v>
      </c>
      <c r="P48" s="2">
        <f t="shared" si="1"/>
        <v>0</v>
      </c>
      <c r="Q48" s="1" t="str">
        <f t="shared" si="2"/>
        <v>Low Leisure Screen</v>
      </c>
      <c r="R48" s="2" t="str">
        <f t="shared" si="3"/>
        <v>Low Total Screen</v>
      </c>
      <c r="S48" s="2" t="str">
        <f t="shared" si="4"/>
        <v/>
      </c>
      <c r="T48" s="2" t="str">
        <f t="shared" si="5"/>
        <v/>
      </c>
      <c r="AA48" s="1">
        <v>1.45</v>
      </c>
      <c r="AB48" s="2">
        <f t="shared" si="6"/>
        <v>0.8960880246</v>
      </c>
    </row>
    <row r="49">
      <c r="A49" s="1" t="s">
        <v>84</v>
      </c>
      <c r="B49" s="1">
        <v>38.0</v>
      </c>
      <c r="C49" s="1" t="s">
        <v>30</v>
      </c>
      <c r="D49" s="1" t="s">
        <v>32</v>
      </c>
      <c r="E49" s="1" t="s">
        <v>18</v>
      </c>
      <c r="F49" s="1">
        <v>14.22</v>
      </c>
      <c r="G49" s="1">
        <v>7.52</v>
      </c>
      <c r="H49" s="1">
        <v>6.7</v>
      </c>
      <c r="I49" s="1">
        <v>6.5</v>
      </c>
      <c r="J49" s="1">
        <v>1.0</v>
      </c>
      <c r="K49" s="1">
        <v>10.0</v>
      </c>
      <c r="L49" s="1">
        <v>34.8</v>
      </c>
      <c r="M49" s="1">
        <v>222.0</v>
      </c>
      <c r="N49" s="1">
        <v>13.9</v>
      </c>
      <c r="O49" s="1">
        <v>0.0</v>
      </c>
      <c r="P49" s="2">
        <f t="shared" si="1"/>
        <v>0</v>
      </c>
      <c r="Q49" s="1" t="str">
        <f t="shared" si="2"/>
        <v>Low Leisure Screen</v>
      </c>
      <c r="R49" s="2" t="str">
        <f t="shared" si="3"/>
        <v>High Total Screen</v>
      </c>
      <c r="S49" s="2" t="str">
        <f t="shared" si="4"/>
        <v>Higher Exercise</v>
      </c>
      <c r="T49" s="2" t="str">
        <f t="shared" si="5"/>
        <v>Higher Social</v>
      </c>
      <c r="AA49" s="1">
        <v>7.52</v>
      </c>
      <c r="AB49" s="2">
        <f t="shared" si="6"/>
        <v>2.142416341</v>
      </c>
    </row>
    <row r="50">
      <c r="A50" s="1" t="s">
        <v>85</v>
      </c>
      <c r="B50" s="1">
        <v>32.0</v>
      </c>
      <c r="C50" s="1" t="s">
        <v>30</v>
      </c>
      <c r="D50" s="1" t="s">
        <v>32</v>
      </c>
      <c r="E50" s="1" t="s">
        <v>18</v>
      </c>
      <c r="F50" s="1">
        <v>9.93</v>
      </c>
      <c r="G50" s="1">
        <v>3.77</v>
      </c>
      <c r="H50" s="1">
        <v>6.16</v>
      </c>
      <c r="I50" s="1">
        <v>7.67</v>
      </c>
      <c r="J50" s="1">
        <v>2.0</v>
      </c>
      <c r="K50" s="1">
        <v>9.3</v>
      </c>
      <c r="L50" s="1">
        <v>52.8</v>
      </c>
      <c r="M50" s="1">
        <v>254.0</v>
      </c>
      <c r="N50" s="1">
        <v>0.5</v>
      </c>
      <c r="O50" s="1">
        <v>18.5</v>
      </c>
      <c r="P50" s="2">
        <f t="shared" si="1"/>
        <v>0</v>
      </c>
      <c r="Q50" s="1" t="str">
        <f t="shared" si="2"/>
        <v>Low Leisure Screen</v>
      </c>
      <c r="R50" s="2" t="str">
        <f t="shared" si="3"/>
        <v>High Total Screen</v>
      </c>
      <c r="S50" s="2" t="str">
        <f t="shared" si="4"/>
        <v>Higher Exercise</v>
      </c>
      <c r="T50" s="2" t="str">
        <f t="shared" si="5"/>
        <v>Lower Social</v>
      </c>
      <c r="AA50" s="1">
        <v>3.77</v>
      </c>
      <c r="AB50" s="2">
        <f t="shared" si="6"/>
        <v>1.562346305</v>
      </c>
    </row>
    <row r="51">
      <c r="A51" s="1" t="s">
        <v>86</v>
      </c>
      <c r="B51" s="1">
        <v>16.0</v>
      </c>
      <c r="C51" s="1" t="s">
        <v>30</v>
      </c>
      <c r="D51" s="1" t="s">
        <v>17</v>
      </c>
      <c r="E51" s="1" t="s">
        <v>23</v>
      </c>
      <c r="F51" s="1">
        <v>13.29</v>
      </c>
      <c r="G51" s="1">
        <v>0.99</v>
      </c>
      <c r="H51" s="1">
        <v>12.3</v>
      </c>
      <c r="I51" s="1">
        <v>7.08</v>
      </c>
      <c r="J51" s="1">
        <v>1.0</v>
      </c>
      <c r="K51" s="1">
        <v>10.0</v>
      </c>
      <c r="L51" s="1">
        <v>27.1</v>
      </c>
      <c r="M51" s="1">
        <v>77.0</v>
      </c>
      <c r="N51" s="1">
        <v>9.2</v>
      </c>
      <c r="O51" s="1">
        <v>0.0</v>
      </c>
      <c r="P51" s="2">
        <f t="shared" si="1"/>
        <v>0</v>
      </c>
      <c r="Q51" s="1" t="str">
        <f t="shared" si="2"/>
        <v>High Leisure Screen</v>
      </c>
      <c r="R51" s="2" t="str">
        <f t="shared" si="3"/>
        <v>High Total Screen</v>
      </c>
      <c r="S51" s="2" t="str">
        <f t="shared" si="4"/>
        <v>Lower Exercise</v>
      </c>
      <c r="T51" s="2" t="str">
        <f t="shared" si="5"/>
        <v>Higher Social</v>
      </c>
      <c r="AA51" s="1">
        <v>0.99</v>
      </c>
      <c r="AB51" s="2">
        <f t="shared" si="6"/>
        <v>0.6881346387</v>
      </c>
    </row>
    <row r="52">
      <c r="A52" s="1" t="s">
        <v>87</v>
      </c>
      <c r="B52" s="1">
        <v>32.0</v>
      </c>
      <c r="C52" s="1" t="s">
        <v>16</v>
      </c>
      <c r="D52" s="1" t="s">
        <v>17</v>
      </c>
      <c r="E52" s="1" t="s">
        <v>27</v>
      </c>
      <c r="F52" s="1">
        <v>6.77</v>
      </c>
      <c r="G52" s="1">
        <v>0.36</v>
      </c>
      <c r="H52" s="1">
        <v>6.41</v>
      </c>
      <c r="I52" s="1">
        <v>6.93</v>
      </c>
      <c r="J52" s="1">
        <v>1.0</v>
      </c>
      <c r="K52" s="1">
        <v>6.5</v>
      </c>
      <c r="L52" s="1">
        <v>56.8</v>
      </c>
      <c r="M52" s="1">
        <v>0.0</v>
      </c>
      <c r="N52" s="1">
        <v>8.1</v>
      </c>
      <c r="O52" s="1">
        <v>27.3</v>
      </c>
      <c r="P52" s="2">
        <f t="shared" si="1"/>
        <v>0</v>
      </c>
      <c r="Q52" s="1" t="str">
        <f t="shared" si="2"/>
        <v>Low Leisure Screen</v>
      </c>
      <c r="R52" s="2" t="str">
        <f t="shared" si="3"/>
        <v>Low Total Screen</v>
      </c>
      <c r="S52" s="2" t="str">
        <f t="shared" si="4"/>
        <v/>
      </c>
      <c r="T52" s="2" t="str">
        <f t="shared" si="5"/>
        <v/>
      </c>
      <c r="AA52" s="1">
        <v>0.36</v>
      </c>
      <c r="AB52" s="2">
        <f t="shared" si="6"/>
        <v>0.3074846997</v>
      </c>
    </row>
    <row r="53">
      <c r="A53" s="1" t="s">
        <v>88</v>
      </c>
      <c r="B53" s="1">
        <v>26.0</v>
      </c>
      <c r="C53" s="1" t="s">
        <v>30</v>
      </c>
      <c r="D53" s="1" t="s">
        <v>32</v>
      </c>
      <c r="E53" s="1" t="s">
        <v>18</v>
      </c>
      <c r="F53" s="1">
        <v>10.25</v>
      </c>
      <c r="G53" s="1">
        <v>5.59</v>
      </c>
      <c r="H53" s="1">
        <v>4.66</v>
      </c>
      <c r="I53" s="1">
        <v>6.33</v>
      </c>
      <c r="J53" s="1">
        <v>1.0</v>
      </c>
      <c r="K53" s="1">
        <v>10.0</v>
      </c>
      <c r="L53" s="1">
        <v>38.5</v>
      </c>
      <c r="M53" s="1">
        <v>181.0</v>
      </c>
      <c r="N53" s="1">
        <v>5.4</v>
      </c>
      <c r="O53" s="1">
        <v>0.3</v>
      </c>
      <c r="P53" s="2">
        <f t="shared" si="1"/>
        <v>0</v>
      </c>
      <c r="Q53" s="1" t="str">
        <f t="shared" si="2"/>
        <v>Low Leisure Screen</v>
      </c>
      <c r="R53" s="2" t="str">
        <f t="shared" si="3"/>
        <v>High Total Screen</v>
      </c>
      <c r="S53" s="2" t="str">
        <f t="shared" si="4"/>
        <v>Higher Exercise</v>
      </c>
      <c r="T53" s="2" t="str">
        <f t="shared" si="5"/>
        <v>Lower Social</v>
      </c>
      <c r="AA53" s="1">
        <v>5.59</v>
      </c>
      <c r="AB53" s="2">
        <f t="shared" si="6"/>
        <v>1.885553349</v>
      </c>
    </row>
    <row r="54">
      <c r="A54" s="1" t="s">
        <v>89</v>
      </c>
      <c r="B54" s="1">
        <v>24.0</v>
      </c>
      <c r="C54" s="1" t="s">
        <v>16</v>
      </c>
      <c r="D54" s="1" t="s">
        <v>17</v>
      </c>
      <c r="E54" s="1" t="s">
        <v>27</v>
      </c>
      <c r="F54" s="1">
        <v>8.75</v>
      </c>
      <c r="G54" s="1">
        <v>1.6</v>
      </c>
      <c r="H54" s="1">
        <v>7.15</v>
      </c>
      <c r="I54" s="1">
        <v>6.2</v>
      </c>
      <c r="J54" s="1">
        <v>1.0</v>
      </c>
      <c r="K54" s="1">
        <v>8.8</v>
      </c>
      <c r="L54" s="1">
        <v>44.9</v>
      </c>
      <c r="M54" s="1">
        <v>65.0</v>
      </c>
      <c r="N54" s="1">
        <v>21.6</v>
      </c>
      <c r="O54" s="1">
        <v>0.0</v>
      </c>
      <c r="P54" s="2">
        <f t="shared" si="1"/>
        <v>0</v>
      </c>
      <c r="Q54" s="1" t="str">
        <f t="shared" si="2"/>
        <v>High Leisure Screen</v>
      </c>
      <c r="R54" s="2" t="str">
        <f t="shared" si="3"/>
        <v>Low Total Screen</v>
      </c>
      <c r="S54" s="2" t="str">
        <f t="shared" si="4"/>
        <v/>
      </c>
      <c r="T54" s="2" t="str">
        <f t="shared" si="5"/>
        <v/>
      </c>
      <c r="AA54" s="1">
        <v>1.6</v>
      </c>
      <c r="AB54" s="2">
        <f t="shared" si="6"/>
        <v>0.955511445</v>
      </c>
    </row>
    <row r="55">
      <c r="A55" s="1" t="s">
        <v>90</v>
      </c>
      <c r="B55" s="1">
        <v>34.0</v>
      </c>
      <c r="C55" s="1" t="s">
        <v>16</v>
      </c>
      <c r="D55" s="1" t="s">
        <v>17</v>
      </c>
      <c r="E55" s="1" t="s">
        <v>27</v>
      </c>
      <c r="F55" s="1">
        <v>10.13</v>
      </c>
      <c r="G55" s="1">
        <v>0.51</v>
      </c>
      <c r="H55" s="1">
        <v>9.62</v>
      </c>
      <c r="I55" s="1">
        <v>7.48</v>
      </c>
      <c r="J55" s="1">
        <v>1.0</v>
      </c>
      <c r="K55" s="1">
        <v>9.8</v>
      </c>
      <c r="L55" s="1">
        <v>44.8</v>
      </c>
      <c r="M55" s="1">
        <v>43.0</v>
      </c>
      <c r="N55" s="1">
        <v>5.4</v>
      </c>
      <c r="O55" s="1">
        <v>1.5</v>
      </c>
      <c r="P55" s="2">
        <f t="shared" si="1"/>
        <v>0</v>
      </c>
      <c r="Q55" s="1" t="str">
        <f t="shared" si="2"/>
        <v>High Leisure Screen</v>
      </c>
      <c r="R55" s="2" t="str">
        <f t="shared" si="3"/>
        <v>High Total Screen</v>
      </c>
      <c r="S55" s="2" t="str">
        <f t="shared" si="4"/>
        <v>Lower Exercise</v>
      </c>
      <c r="T55" s="2" t="str">
        <f t="shared" si="5"/>
        <v>Lower Social</v>
      </c>
      <c r="AA55" s="1">
        <v>0.51</v>
      </c>
      <c r="AB55" s="2">
        <f t="shared" si="6"/>
        <v>0.4121096508</v>
      </c>
    </row>
    <row r="56">
      <c r="A56" s="1" t="s">
        <v>91</v>
      </c>
      <c r="B56" s="1">
        <v>38.0</v>
      </c>
      <c r="C56" s="1" t="s">
        <v>16</v>
      </c>
      <c r="D56" s="1" t="s">
        <v>17</v>
      </c>
      <c r="E56" s="1" t="s">
        <v>18</v>
      </c>
      <c r="F56" s="1">
        <v>9.47</v>
      </c>
      <c r="G56" s="1">
        <v>2.4</v>
      </c>
      <c r="H56" s="1">
        <v>7.07</v>
      </c>
      <c r="I56" s="1">
        <v>8.22</v>
      </c>
      <c r="J56" s="1">
        <v>2.0</v>
      </c>
      <c r="K56" s="1">
        <v>7.2</v>
      </c>
      <c r="L56" s="1">
        <v>60.0</v>
      </c>
      <c r="M56" s="1">
        <v>77.0</v>
      </c>
      <c r="N56" s="1">
        <v>10.2</v>
      </c>
      <c r="O56" s="1">
        <v>34.4</v>
      </c>
      <c r="P56" s="2">
        <f t="shared" si="1"/>
        <v>0</v>
      </c>
      <c r="Q56" s="1" t="str">
        <f t="shared" si="2"/>
        <v>High Leisure Screen</v>
      </c>
      <c r="R56" s="2" t="str">
        <f t="shared" si="3"/>
        <v>High Total Screen</v>
      </c>
      <c r="S56" s="2" t="str">
        <f t="shared" si="4"/>
        <v>Lower Exercise</v>
      </c>
      <c r="T56" s="2" t="str">
        <f t="shared" si="5"/>
        <v>Higher Social</v>
      </c>
      <c r="AA56" s="1">
        <v>2.4</v>
      </c>
      <c r="AB56" s="2">
        <f t="shared" si="6"/>
        <v>1.223775432</v>
      </c>
    </row>
    <row r="57">
      <c r="A57" s="1" t="s">
        <v>92</v>
      </c>
      <c r="B57" s="1">
        <v>37.0</v>
      </c>
      <c r="C57" s="1" t="s">
        <v>34</v>
      </c>
      <c r="D57" s="1" t="s">
        <v>17</v>
      </c>
      <c r="E57" s="1" t="s">
        <v>27</v>
      </c>
      <c r="F57" s="1">
        <v>7.57</v>
      </c>
      <c r="G57" s="1">
        <v>0.42</v>
      </c>
      <c r="H57" s="1">
        <v>7.15</v>
      </c>
      <c r="I57" s="1">
        <v>7.08</v>
      </c>
      <c r="J57" s="1">
        <v>2.0</v>
      </c>
      <c r="K57" s="1">
        <v>9.4</v>
      </c>
      <c r="L57" s="1">
        <v>51.7</v>
      </c>
      <c r="M57" s="1">
        <v>85.0</v>
      </c>
      <c r="N57" s="1">
        <v>11.5</v>
      </c>
      <c r="O57" s="1">
        <v>27.4</v>
      </c>
      <c r="P57" s="2">
        <f t="shared" si="1"/>
        <v>0</v>
      </c>
      <c r="Q57" s="1" t="str">
        <f t="shared" si="2"/>
        <v>High Leisure Screen</v>
      </c>
      <c r="R57" s="2" t="str">
        <f t="shared" si="3"/>
        <v>Low Total Screen</v>
      </c>
      <c r="S57" s="2" t="str">
        <f t="shared" si="4"/>
        <v/>
      </c>
      <c r="T57" s="2" t="str">
        <f t="shared" si="5"/>
        <v/>
      </c>
      <c r="AA57" s="1">
        <v>0.42</v>
      </c>
      <c r="AB57" s="2">
        <f t="shared" si="6"/>
        <v>0.3506568716</v>
      </c>
    </row>
    <row r="58">
      <c r="A58" s="1" t="s">
        <v>93</v>
      </c>
      <c r="B58" s="1">
        <v>23.0</v>
      </c>
      <c r="C58" s="1" t="s">
        <v>16</v>
      </c>
      <c r="D58" s="1" t="s">
        <v>32</v>
      </c>
      <c r="E58" s="1" t="s">
        <v>23</v>
      </c>
      <c r="F58" s="1">
        <v>6.76</v>
      </c>
      <c r="G58" s="1">
        <v>0.55</v>
      </c>
      <c r="H58" s="1">
        <v>6.21</v>
      </c>
      <c r="I58" s="1">
        <v>7.12</v>
      </c>
      <c r="J58" s="1">
        <v>2.0</v>
      </c>
      <c r="K58" s="1">
        <v>5.6</v>
      </c>
      <c r="L58" s="1">
        <v>74.0</v>
      </c>
      <c r="M58" s="1">
        <v>157.0</v>
      </c>
      <c r="N58" s="1">
        <v>1.0</v>
      </c>
      <c r="O58" s="1">
        <v>39.1</v>
      </c>
      <c r="P58" s="2">
        <f t="shared" si="1"/>
        <v>0</v>
      </c>
      <c r="Q58" s="1" t="str">
        <f t="shared" si="2"/>
        <v>Low Leisure Screen</v>
      </c>
      <c r="R58" s="2" t="str">
        <f t="shared" si="3"/>
        <v>Low Total Screen</v>
      </c>
      <c r="S58" s="2" t="str">
        <f t="shared" si="4"/>
        <v/>
      </c>
      <c r="T58" s="2" t="str">
        <f t="shared" si="5"/>
        <v/>
      </c>
      <c r="AA58" s="1">
        <v>0.55</v>
      </c>
      <c r="AB58" s="2">
        <f t="shared" si="6"/>
        <v>0.4382549309</v>
      </c>
    </row>
    <row r="59">
      <c r="A59" s="1" t="s">
        <v>94</v>
      </c>
      <c r="B59" s="1">
        <v>27.0</v>
      </c>
      <c r="C59" s="1" t="s">
        <v>16</v>
      </c>
      <c r="D59" s="1" t="s">
        <v>32</v>
      </c>
      <c r="E59" s="1" t="s">
        <v>18</v>
      </c>
      <c r="F59" s="1">
        <v>7.82</v>
      </c>
      <c r="G59" s="1">
        <v>2.5</v>
      </c>
      <c r="H59" s="1">
        <v>5.32</v>
      </c>
      <c r="I59" s="1">
        <v>8.37</v>
      </c>
      <c r="J59" s="1">
        <v>3.0</v>
      </c>
      <c r="K59" s="1">
        <v>6.9</v>
      </c>
      <c r="L59" s="1">
        <v>81.0</v>
      </c>
      <c r="M59" s="1">
        <v>0.0</v>
      </c>
      <c r="N59" s="1">
        <v>18.8</v>
      </c>
      <c r="O59" s="1">
        <v>44.1</v>
      </c>
      <c r="P59" s="2">
        <f t="shared" si="1"/>
        <v>0</v>
      </c>
      <c r="Q59" s="1" t="str">
        <f t="shared" si="2"/>
        <v>Low Leisure Screen</v>
      </c>
      <c r="R59" s="2" t="str">
        <f t="shared" si="3"/>
        <v>Low Total Screen</v>
      </c>
      <c r="S59" s="2" t="str">
        <f t="shared" si="4"/>
        <v/>
      </c>
      <c r="T59" s="2" t="str">
        <f t="shared" si="5"/>
        <v/>
      </c>
      <c r="AA59" s="1">
        <v>2.5</v>
      </c>
      <c r="AB59" s="2">
        <f t="shared" si="6"/>
        <v>1.252762968</v>
      </c>
    </row>
    <row r="60">
      <c r="A60" s="1" t="s">
        <v>95</v>
      </c>
      <c r="B60" s="1">
        <v>32.0</v>
      </c>
      <c r="C60" s="1" t="s">
        <v>30</v>
      </c>
      <c r="D60" s="1" t="s">
        <v>17</v>
      </c>
      <c r="E60" s="1" t="s">
        <v>27</v>
      </c>
      <c r="F60" s="1">
        <v>11.49</v>
      </c>
      <c r="G60" s="1">
        <v>1.1</v>
      </c>
      <c r="H60" s="1">
        <v>10.39</v>
      </c>
      <c r="I60" s="1">
        <v>7.1</v>
      </c>
      <c r="J60" s="1">
        <v>2.0</v>
      </c>
      <c r="K60" s="1">
        <v>7.2</v>
      </c>
      <c r="L60" s="1">
        <v>67.8</v>
      </c>
      <c r="M60" s="1">
        <v>15.0</v>
      </c>
      <c r="N60" s="1">
        <v>0.0</v>
      </c>
      <c r="O60" s="1">
        <v>29.9</v>
      </c>
      <c r="P60" s="2">
        <f t="shared" si="1"/>
        <v>0</v>
      </c>
      <c r="Q60" s="1" t="str">
        <f t="shared" si="2"/>
        <v>High Leisure Screen</v>
      </c>
      <c r="R60" s="2" t="str">
        <f t="shared" si="3"/>
        <v>High Total Screen</v>
      </c>
      <c r="S60" s="2" t="str">
        <f t="shared" si="4"/>
        <v>Lower Exercise</v>
      </c>
      <c r="T60" s="2" t="str">
        <f t="shared" si="5"/>
        <v>Lower Social</v>
      </c>
      <c r="AA60" s="1">
        <v>1.1</v>
      </c>
      <c r="AB60" s="2">
        <f t="shared" si="6"/>
        <v>0.7419373447</v>
      </c>
    </row>
    <row r="61">
      <c r="A61" s="1" t="s">
        <v>96</v>
      </c>
      <c r="B61" s="1">
        <v>37.0</v>
      </c>
      <c r="C61" s="1" t="s">
        <v>16</v>
      </c>
      <c r="D61" s="1" t="s">
        <v>17</v>
      </c>
      <c r="E61" s="1" t="s">
        <v>27</v>
      </c>
      <c r="F61" s="1">
        <v>8.89</v>
      </c>
      <c r="G61" s="1">
        <v>1.91</v>
      </c>
      <c r="H61" s="1">
        <v>6.98</v>
      </c>
      <c r="I61" s="1">
        <v>7.49</v>
      </c>
      <c r="J61" s="1">
        <v>2.0</v>
      </c>
      <c r="K61" s="1">
        <v>9.7</v>
      </c>
      <c r="L61" s="1">
        <v>40.3</v>
      </c>
      <c r="M61" s="1">
        <v>132.0</v>
      </c>
      <c r="N61" s="1">
        <v>6.1</v>
      </c>
      <c r="O61" s="1">
        <v>19.8</v>
      </c>
      <c r="P61" s="2">
        <f t="shared" si="1"/>
        <v>0</v>
      </c>
      <c r="Q61" s="1" t="str">
        <f t="shared" si="2"/>
        <v>High Leisure Screen</v>
      </c>
      <c r="R61" s="2" t="str">
        <f t="shared" si="3"/>
        <v>Low Total Screen</v>
      </c>
      <c r="S61" s="2" t="str">
        <f t="shared" si="4"/>
        <v/>
      </c>
      <c r="T61" s="2" t="str">
        <f t="shared" si="5"/>
        <v/>
      </c>
      <c r="AA61" s="1">
        <v>1.91</v>
      </c>
      <c r="AB61" s="2">
        <f t="shared" si="6"/>
        <v>1.068153081</v>
      </c>
    </row>
    <row r="62">
      <c r="A62" s="1" t="s">
        <v>97</v>
      </c>
      <c r="B62" s="1">
        <v>26.0</v>
      </c>
      <c r="C62" s="1" t="s">
        <v>16</v>
      </c>
      <c r="D62" s="1" t="s">
        <v>17</v>
      </c>
      <c r="E62" s="1" t="s">
        <v>23</v>
      </c>
      <c r="F62" s="1">
        <v>10.09</v>
      </c>
      <c r="G62" s="1">
        <v>0.68</v>
      </c>
      <c r="H62" s="1">
        <v>9.41</v>
      </c>
      <c r="I62" s="1">
        <v>5.89</v>
      </c>
      <c r="J62" s="1">
        <v>1.0</v>
      </c>
      <c r="K62" s="1">
        <v>10.0</v>
      </c>
      <c r="L62" s="1">
        <v>46.3</v>
      </c>
      <c r="M62" s="1">
        <v>139.0</v>
      </c>
      <c r="N62" s="1">
        <v>5.6</v>
      </c>
      <c r="O62" s="1">
        <v>4.5</v>
      </c>
      <c r="P62" s="2">
        <f t="shared" si="1"/>
        <v>0</v>
      </c>
      <c r="Q62" s="1" t="str">
        <f t="shared" si="2"/>
        <v>High Leisure Screen</v>
      </c>
      <c r="R62" s="2" t="str">
        <f t="shared" si="3"/>
        <v>High Total Screen</v>
      </c>
      <c r="S62" s="2" t="str">
        <f t="shared" si="4"/>
        <v>Higher Exercise</v>
      </c>
      <c r="T62" s="2" t="str">
        <f t="shared" si="5"/>
        <v>Lower Social</v>
      </c>
      <c r="AA62" s="1">
        <v>0.68</v>
      </c>
      <c r="AB62" s="2">
        <f t="shared" si="6"/>
        <v>0.5187937934</v>
      </c>
    </row>
    <row r="63">
      <c r="A63" s="1" t="s">
        <v>99</v>
      </c>
      <c r="B63" s="1">
        <v>28.0</v>
      </c>
      <c r="C63" s="1" t="s">
        <v>16</v>
      </c>
      <c r="D63" s="1" t="s">
        <v>17</v>
      </c>
      <c r="E63" s="1" t="s">
        <v>18</v>
      </c>
      <c r="F63" s="1">
        <v>9.02</v>
      </c>
      <c r="G63" s="1">
        <v>2.67</v>
      </c>
      <c r="H63" s="1">
        <v>6.35</v>
      </c>
      <c r="I63" s="1">
        <v>7.57</v>
      </c>
      <c r="J63" s="1">
        <v>1.0</v>
      </c>
      <c r="K63" s="1">
        <v>9.4</v>
      </c>
      <c r="L63" s="1">
        <v>45.8</v>
      </c>
      <c r="M63" s="1">
        <v>148.0</v>
      </c>
      <c r="N63" s="1">
        <v>7.9</v>
      </c>
      <c r="O63" s="1">
        <v>2.3</v>
      </c>
      <c r="P63" s="2">
        <f t="shared" si="1"/>
        <v>0</v>
      </c>
      <c r="Q63" s="1" t="str">
        <f t="shared" si="2"/>
        <v>Low Leisure Screen</v>
      </c>
      <c r="R63" s="2" t="str">
        <f t="shared" si="3"/>
        <v>Low Total Screen</v>
      </c>
      <c r="S63" s="2" t="str">
        <f t="shared" si="4"/>
        <v/>
      </c>
      <c r="T63" s="2" t="str">
        <f t="shared" si="5"/>
        <v/>
      </c>
      <c r="AA63" s="1">
        <v>2.67</v>
      </c>
      <c r="AB63" s="2">
        <f t="shared" si="6"/>
        <v>1.300191662</v>
      </c>
    </row>
    <row r="64">
      <c r="A64" s="1" t="s">
        <v>100</v>
      </c>
      <c r="B64" s="1">
        <v>21.0</v>
      </c>
      <c r="C64" s="1" t="s">
        <v>16</v>
      </c>
      <c r="D64" s="1" t="s">
        <v>32</v>
      </c>
      <c r="E64" s="1" t="s">
        <v>23</v>
      </c>
      <c r="F64" s="1">
        <v>11.16</v>
      </c>
      <c r="G64" s="1">
        <v>1.46</v>
      </c>
      <c r="H64" s="1">
        <v>9.7</v>
      </c>
      <c r="I64" s="1">
        <v>5.89</v>
      </c>
      <c r="J64" s="1">
        <v>1.0</v>
      </c>
      <c r="K64" s="1">
        <v>10.0</v>
      </c>
      <c r="L64" s="1">
        <v>42.2</v>
      </c>
      <c r="M64" s="1">
        <v>31.0</v>
      </c>
      <c r="N64" s="1">
        <v>2.8</v>
      </c>
      <c r="O64" s="1">
        <v>3.8</v>
      </c>
      <c r="P64" s="2">
        <f t="shared" si="1"/>
        <v>0</v>
      </c>
      <c r="Q64" s="1" t="str">
        <f t="shared" si="2"/>
        <v>High Leisure Screen</v>
      </c>
      <c r="R64" s="2" t="str">
        <f t="shared" si="3"/>
        <v>High Total Screen</v>
      </c>
      <c r="S64" s="2" t="str">
        <f t="shared" si="4"/>
        <v>Lower Exercise</v>
      </c>
      <c r="T64" s="2" t="str">
        <f t="shared" si="5"/>
        <v>Lower Social</v>
      </c>
      <c r="AA64" s="1">
        <v>1.46</v>
      </c>
      <c r="AB64" s="2">
        <f t="shared" si="6"/>
        <v>0.9001613499</v>
      </c>
    </row>
    <row r="65">
      <c r="A65" s="1" t="s">
        <v>101</v>
      </c>
      <c r="B65" s="1">
        <v>20.0</v>
      </c>
      <c r="C65" s="1" t="s">
        <v>16</v>
      </c>
      <c r="D65" s="1" t="s">
        <v>35</v>
      </c>
      <c r="E65" s="1" t="s">
        <v>27</v>
      </c>
      <c r="F65" s="1">
        <v>7.3</v>
      </c>
      <c r="G65" s="1">
        <v>1.65</v>
      </c>
      <c r="H65" s="1">
        <v>5.65</v>
      </c>
      <c r="I65" s="1">
        <v>6.3</v>
      </c>
      <c r="J65" s="1">
        <v>1.0</v>
      </c>
      <c r="K65" s="1">
        <v>8.4</v>
      </c>
      <c r="L65" s="1">
        <v>51.1</v>
      </c>
      <c r="M65" s="1">
        <v>41.0</v>
      </c>
      <c r="N65" s="1">
        <v>7.7</v>
      </c>
      <c r="O65" s="1">
        <v>9.8</v>
      </c>
      <c r="P65" s="2">
        <f t="shared" si="1"/>
        <v>0</v>
      </c>
      <c r="Q65" s="1" t="str">
        <f t="shared" si="2"/>
        <v>Low Leisure Screen</v>
      </c>
      <c r="R65" s="2" t="str">
        <f t="shared" si="3"/>
        <v>Low Total Screen</v>
      </c>
      <c r="S65" s="2" t="str">
        <f t="shared" si="4"/>
        <v/>
      </c>
      <c r="T65" s="2" t="str">
        <f t="shared" si="5"/>
        <v/>
      </c>
      <c r="AA65" s="1">
        <v>1.65</v>
      </c>
      <c r="AB65" s="2">
        <f t="shared" si="6"/>
        <v>0.97455964</v>
      </c>
    </row>
    <row r="66">
      <c r="A66" s="1" t="s">
        <v>102</v>
      </c>
      <c r="B66" s="1">
        <v>36.0</v>
      </c>
      <c r="C66" s="1" t="s">
        <v>16</v>
      </c>
      <c r="D66" s="1" t="s">
        <v>17</v>
      </c>
      <c r="E66" s="1" t="s">
        <v>18</v>
      </c>
      <c r="F66" s="1">
        <v>6.95</v>
      </c>
      <c r="G66" s="1">
        <v>3.9</v>
      </c>
      <c r="H66" s="1">
        <v>3.05</v>
      </c>
      <c r="I66" s="1">
        <v>7.14</v>
      </c>
      <c r="J66" s="1">
        <v>1.0</v>
      </c>
      <c r="K66" s="1">
        <v>10.0</v>
      </c>
      <c r="L66" s="1">
        <v>48.3</v>
      </c>
      <c r="M66" s="1">
        <v>84.0</v>
      </c>
      <c r="N66" s="1">
        <v>7.9</v>
      </c>
      <c r="O66" s="1">
        <v>0.0</v>
      </c>
      <c r="P66" s="2">
        <f t="shared" si="1"/>
        <v>0</v>
      </c>
      <c r="Q66" s="1" t="str">
        <f t="shared" si="2"/>
        <v>Low Leisure Screen</v>
      </c>
      <c r="R66" s="2" t="str">
        <f t="shared" si="3"/>
        <v>Low Total Screen</v>
      </c>
      <c r="S66" s="2" t="str">
        <f t="shared" si="4"/>
        <v/>
      </c>
      <c r="T66" s="2" t="str">
        <f t="shared" si="5"/>
        <v/>
      </c>
      <c r="AA66" s="1">
        <v>3.9</v>
      </c>
      <c r="AB66" s="2">
        <f t="shared" si="6"/>
        <v>1.589235205</v>
      </c>
    </row>
    <row r="67">
      <c r="A67" s="1" t="s">
        <v>103</v>
      </c>
      <c r="B67" s="1">
        <v>40.0</v>
      </c>
      <c r="C67" s="1" t="s">
        <v>30</v>
      </c>
      <c r="D67" s="1" t="s">
        <v>17</v>
      </c>
      <c r="E67" s="1" t="s">
        <v>18</v>
      </c>
      <c r="F67" s="1">
        <v>5.5</v>
      </c>
      <c r="G67" s="1">
        <v>2.5</v>
      </c>
      <c r="H67" s="1">
        <v>3.0</v>
      </c>
      <c r="I67" s="1">
        <v>7.21</v>
      </c>
      <c r="J67" s="1">
        <v>2.0</v>
      </c>
      <c r="K67" s="1">
        <v>2.6</v>
      </c>
      <c r="L67" s="1">
        <v>86.3</v>
      </c>
      <c r="M67" s="1">
        <v>147.0</v>
      </c>
      <c r="N67" s="1">
        <v>2.2</v>
      </c>
      <c r="O67" s="1">
        <v>60.6</v>
      </c>
      <c r="P67" s="2">
        <f t="shared" si="1"/>
        <v>0</v>
      </c>
      <c r="Q67" s="1" t="str">
        <f t="shared" si="2"/>
        <v>Low Leisure Screen</v>
      </c>
      <c r="R67" s="2" t="str">
        <f t="shared" si="3"/>
        <v>Low Total Screen</v>
      </c>
      <c r="S67" s="2" t="str">
        <f t="shared" si="4"/>
        <v/>
      </c>
      <c r="T67" s="2" t="str">
        <f t="shared" si="5"/>
        <v/>
      </c>
      <c r="AA67" s="1">
        <v>2.5</v>
      </c>
      <c r="AB67" s="2">
        <f t="shared" si="6"/>
        <v>1.252762968</v>
      </c>
    </row>
    <row r="68">
      <c r="A68" s="1" t="s">
        <v>105</v>
      </c>
      <c r="B68" s="1">
        <v>29.0</v>
      </c>
      <c r="C68" s="1" t="s">
        <v>16</v>
      </c>
      <c r="D68" s="1" t="s">
        <v>17</v>
      </c>
      <c r="E68" s="1" t="s">
        <v>18</v>
      </c>
      <c r="F68" s="1">
        <v>11.02</v>
      </c>
      <c r="G68" s="1">
        <v>1.59</v>
      </c>
      <c r="H68" s="1">
        <v>9.43</v>
      </c>
      <c r="I68" s="1">
        <v>6.56</v>
      </c>
      <c r="J68" s="1">
        <v>1.0</v>
      </c>
      <c r="K68" s="1">
        <v>10.0</v>
      </c>
      <c r="L68" s="1">
        <v>38.0</v>
      </c>
      <c r="M68" s="1">
        <v>195.0</v>
      </c>
      <c r="N68" s="1">
        <v>0.0</v>
      </c>
      <c r="O68" s="1">
        <v>13.2</v>
      </c>
      <c r="P68" s="2">
        <f t="shared" si="1"/>
        <v>0</v>
      </c>
      <c r="Q68" s="1" t="str">
        <f t="shared" si="2"/>
        <v>High Leisure Screen</v>
      </c>
      <c r="R68" s="2" t="str">
        <f t="shared" si="3"/>
        <v>High Total Screen</v>
      </c>
      <c r="S68" s="2" t="str">
        <f t="shared" si="4"/>
        <v>Higher Exercise</v>
      </c>
      <c r="T68" s="2" t="str">
        <f t="shared" si="5"/>
        <v>Lower Social</v>
      </c>
      <c r="AA68" s="1">
        <v>1.59</v>
      </c>
      <c r="AB68" s="2">
        <f t="shared" si="6"/>
        <v>0.9516578757</v>
      </c>
    </row>
    <row r="69">
      <c r="A69" s="1" t="s">
        <v>109</v>
      </c>
      <c r="B69" s="1">
        <v>38.0</v>
      </c>
      <c r="C69" s="1" t="s">
        <v>16</v>
      </c>
      <c r="D69" s="1" t="s">
        <v>17</v>
      </c>
      <c r="E69" s="1" t="s">
        <v>27</v>
      </c>
      <c r="F69" s="1">
        <v>8.47</v>
      </c>
      <c r="G69" s="1">
        <v>0.94</v>
      </c>
      <c r="H69" s="1">
        <v>7.53</v>
      </c>
      <c r="I69" s="1">
        <v>6.06</v>
      </c>
      <c r="J69" s="1">
        <v>1.0</v>
      </c>
      <c r="K69" s="1">
        <v>7.4</v>
      </c>
      <c r="L69" s="1">
        <v>50.3</v>
      </c>
      <c r="M69" s="1">
        <v>0.0</v>
      </c>
      <c r="N69" s="1">
        <v>10.0</v>
      </c>
      <c r="O69" s="1">
        <v>18.2</v>
      </c>
      <c r="P69" s="2">
        <f t="shared" si="1"/>
        <v>0</v>
      </c>
      <c r="Q69" s="1" t="str">
        <f t="shared" si="2"/>
        <v>High Leisure Screen</v>
      </c>
      <c r="R69" s="2" t="str">
        <f t="shared" si="3"/>
        <v>Low Total Screen</v>
      </c>
      <c r="S69" s="2" t="str">
        <f t="shared" si="4"/>
        <v/>
      </c>
      <c r="T69" s="2" t="str">
        <f t="shared" si="5"/>
        <v/>
      </c>
      <c r="AA69" s="1">
        <v>0.94</v>
      </c>
      <c r="AB69" s="2">
        <f t="shared" si="6"/>
        <v>0.6626879731</v>
      </c>
    </row>
    <row r="70">
      <c r="A70" s="1" t="s">
        <v>110</v>
      </c>
      <c r="B70" s="1">
        <v>32.0</v>
      </c>
      <c r="C70" s="1" t="s">
        <v>30</v>
      </c>
      <c r="D70" s="1" t="s">
        <v>17</v>
      </c>
      <c r="E70" s="1" t="s">
        <v>27</v>
      </c>
      <c r="F70" s="1">
        <v>6.92</v>
      </c>
      <c r="G70" s="1">
        <v>1.07</v>
      </c>
      <c r="H70" s="1">
        <v>5.85</v>
      </c>
      <c r="I70" s="1">
        <v>8.15</v>
      </c>
      <c r="J70" s="1">
        <v>3.0</v>
      </c>
      <c r="K70" s="1">
        <v>5.1</v>
      </c>
      <c r="L70" s="1">
        <v>76.5</v>
      </c>
      <c r="M70" s="1">
        <v>102.0</v>
      </c>
      <c r="N70" s="1">
        <v>11.5</v>
      </c>
      <c r="O70" s="1">
        <v>57.0</v>
      </c>
      <c r="P70" s="2">
        <f t="shared" si="1"/>
        <v>0</v>
      </c>
      <c r="Q70" s="1" t="str">
        <f t="shared" si="2"/>
        <v>Low Leisure Screen</v>
      </c>
      <c r="R70" s="2" t="str">
        <f t="shared" si="3"/>
        <v>Low Total Screen</v>
      </c>
      <c r="S70" s="2" t="str">
        <f t="shared" si="4"/>
        <v/>
      </c>
      <c r="T70" s="2" t="str">
        <f t="shared" si="5"/>
        <v/>
      </c>
      <c r="AA70" s="1">
        <v>1.07</v>
      </c>
      <c r="AB70" s="2">
        <f t="shared" si="6"/>
        <v>0.7275486073</v>
      </c>
    </row>
    <row r="71">
      <c r="A71" s="1" t="s">
        <v>111</v>
      </c>
      <c r="B71" s="1">
        <v>24.0</v>
      </c>
      <c r="C71" s="1" t="s">
        <v>16</v>
      </c>
      <c r="D71" s="1" t="s">
        <v>32</v>
      </c>
      <c r="E71" s="1" t="s">
        <v>23</v>
      </c>
      <c r="F71" s="1">
        <v>8.23</v>
      </c>
      <c r="G71" s="1">
        <v>0.45</v>
      </c>
      <c r="H71" s="1">
        <v>7.78</v>
      </c>
      <c r="I71" s="1">
        <v>8.01</v>
      </c>
      <c r="J71" s="1">
        <v>2.0</v>
      </c>
      <c r="K71" s="1">
        <v>7.0</v>
      </c>
      <c r="L71" s="1">
        <v>65.1</v>
      </c>
      <c r="M71" s="1">
        <v>12.0</v>
      </c>
      <c r="N71" s="1">
        <v>17.2</v>
      </c>
      <c r="O71" s="1">
        <v>30.6</v>
      </c>
      <c r="P71" s="2">
        <f t="shared" si="1"/>
        <v>0</v>
      </c>
      <c r="Q71" s="1" t="str">
        <f t="shared" si="2"/>
        <v>High Leisure Screen</v>
      </c>
      <c r="R71" s="2" t="str">
        <f t="shared" si="3"/>
        <v>Low Total Screen</v>
      </c>
      <c r="S71" s="2" t="str">
        <f t="shared" si="4"/>
        <v/>
      </c>
      <c r="T71" s="2" t="str">
        <f t="shared" si="5"/>
        <v/>
      </c>
      <c r="AA71" s="1">
        <v>0.45</v>
      </c>
      <c r="AB71" s="2">
        <f t="shared" si="6"/>
        <v>0.3715635564</v>
      </c>
    </row>
    <row r="72">
      <c r="A72" s="1" t="s">
        <v>113</v>
      </c>
      <c r="B72" s="1">
        <v>32.0</v>
      </c>
      <c r="C72" s="1" t="s">
        <v>30</v>
      </c>
      <c r="D72" s="1" t="s">
        <v>43</v>
      </c>
      <c r="E72" s="1" t="s">
        <v>27</v>
      </c>
      <c r="F72" s="1">
        <v>7.88</v>
      </c>
      <c r="G72" s="1">
        <v>0.39</v>
      </c>
      <c r="H72" s="1">
        <v>7.49</v>
      </c>
      <c r="I72" s="1">
        <v>5.68</v>
      </c>
      <c r="J72" s="1">
        <v>1.0</v>
      </c>
      <c r="K72" s="1">
        <v>7.7</v>
      </c>
      <c r="L72" s="1">
        <v>59.0</v>
      </c>
      <c r="M72" s="1">
        <v>0.0</v>
      </c>
      <c r="N72" s="1">
        <v>4.5</v>
      </c>
      <c r="O72" s="1">
        <v>19.6</v>
      </c>
      <c r="P72" s="2">
        <f t="shared" si="1"/>
        <v>0</v>
      </c>
      <c r="Q72" s="1" t="str">
        <f t="shared" si="2"/>
        <v>High Leisure Screen</v>
      </c>
      <c r="R72" s="2" t="str">
        <f t="shared" si="3"/>
        <v>Low Total Screen</v>
      </c>
      <c r="S72" s="2" t="str">
        <f t="shared" si="4"/>
        <v/>
      </c>
      <c r="T72" s="2" t="str">
        <f t="shared" si="5"/>
        <v/>
      </c>
      <c r="AA72" s="1">
        <v>0.39</v>
      </c>
      <c r="AB72" s="2">
        <f t="shared" si="6"/>
        <v>0.3293037471</v>
      </c>
    </row>
    <row r="73">
      <c r="A73" s="1" t="s">
        <v>115</v>
      </c>
      <c r="B73" s="1">
        <v>42.0</v>
      </c>
      <c r="C73" s="1" t="s">
        <v>16</v>
      </c>
      <c r="D73" s="1" t="s">
        <v>32</v>
      </c>
      <c r="E73" s="1" t="s">
        <v>18</v>
      </c>
      <c r="F73" s="1">
        <v>13.44</v>
      </c>
      <c r="G73" s="1">
        <v>6.68</v>
      </c>
      <c r="H73" s="1">
        <v>6.76</v>
      </c>
      <c r="I73" s="1">
        <v>7.29</v>
      </c>
      <c r="J73" s="1">
        <v>1.0</v>
      </c>
      <c r="K73" s="1">
        <v>10.0</v>
      </c>
      <c r="L73" s="1">
        <v>43.0</v>
      </c>
      <c r="M73" s="1">
        <v>151.0</v>
      </c>
      <c r="N73" s="1">
        <v>12.5</v>
      </c>
      <c r="O73" s="1">
        <v>5.4</v>
      </c>
      <c r="P73" s="2">
        <f t="shared" si="1"/>
        <v>0</v>
      </c>
      <c r="Q73" s="1" t="str">
        <f t="shared" si="2"/>
        <v>High Leisure Screen</v>
      </c>
      <c r="R73" s="2" t="str">
        <f t="shared" si="3"/>
        <v>High Total Screen</v>
      </c>
      <c r="S73" s="2" t="str">
        <f t="shared" si="4"/>
        <v>Higher Exercise</v>
      </c>
      <c r="T73" s="2" t="str">
        <f t="shared" si="5"/>
        <v>Higher Social</v>
      </c>
      <c r="AA73" s="1">
        <v>6.68</v>
      </c>
      <c r="AB73" s="2">
        <f t="shared" si="6"/>
        <v>2.038619547</v>
      </c>
    </row>
    <row r="74">
      <c r="A74" s="1" t="s">
        <v>116</v>
      </c>
      <c r="B74" s="1">
        <v>29.0</v>
      </c>
      <c r="C74" s="1" t="s">
        <v>16</v>
      </c>
      <c r="D74" s="1" t="s">
        <v>43</v>
      </c>
      <c r="E74" s="1" t="s">
        <v>27</v>
      </c>
      <c r="F74" s="1">
        <v>5.41</v>
      </c>
      <c r="G74" s="1">
        <v>0.44</v>
      </c>
      <c r="H74" s="1">
        <v>4.97</v>
      </c>
      <c r="I74" s="1">
        <v>6.93</v>
      </c>
      <c r="J74" s="1">
        <v>1.0</v>
      </c>
      <c r="K74" s="1">
        <v>4.6</v>
      </c>
      <c r="L74" s="1">
        <v>68.5</v>
      </c>
      <c r="M74" s="1">
        <v>163.0</v>
      </c>
      <c r="N74" s="1">
        <v>5.5</v>
      </c>
      <c r="O74" s="1">
        <v>43.0</v>
      </c>
      <c r="P74" s="2">
        <f t="shared" si="1"/>
        <v>0</v>
      </c>
      <c r="Q74" s="1" t="str">
        <f t="shared" si="2"/>
        <v>Low Leisure Screen</v>
      </c>
      <c r="R74" s="2" t="str">
        <f t="shared" si="3"/>
        <v>Low Total Screen</v>
      </c>
      <c r="S74" s="2" t="str">
        <f t="shared" si="4"/>
        <v/>
      </c>
      <c r="T74" s="2" t="str">
        <f t="shared" si="5"/>
        <v/>
      </c>
      <c r="AA74" s="1">
        <v>0.44</v>
      </c>
      <c r="AB74" s="2">
        <f t="shared" si="6"/>
        <v>0.3646431136</v>
      </c>
    </row>
    <row r="75">
      <c r="A75" s="1" t="s">
        <v>117</v>
      </c>
      <c r="B75" s="1">
        <v>42.0</v>
      </c>
      <c r="C75" s="1" t="s">
        <v>16</v>
      </c>
      <c r="D75" s="1" t="s">
        <v>17</v>
      </c>
      <c r="E75" s="1" t="s">
        <v>23</v>
      </c>
      <c r="F75" s="1">
        <v>8.6</v>
      </c>
      <c r="G75" s="1">
        <v>1.6</v>
      </c>
      <c r="H75" s="1">
        <v>7.0</v>
      </c>
      <c r="I75" s="1">
        <v>7.92</v>
      </c>
      <c r="J75" s="1">
        <v>2.0</v>
      </c>
      <c r="K75" s="1">
        <v>9.2</v>
      </c>
      <c r="L75" s="1">
        <v>56.0</v>
      </c>
      <c r="M75" s="1">
        <v>144.0</v>
      </c>
      <c r="N75" s="1">
        <v>15.5</v>
      </c>
      <c r="O75" s="1">
        <v>21.4</v>
      </c>
      <c r="P75" s="2">
        <f t="shared" si="1"/>
        <v>0</v>
      </c>
      <c r="Q75" s="1" t="str">
        <f t="shared" si="2"/>
        <v>High Leisure Screen</v>
      </c>
      <c r="R75" s="2" t="str">
        <f t="shared" si="3"/>
        <v>Low Total Screen</v>
      </c>
      <c r="S75" s="2" t="str">
        <f t="shared" si="4"/>
        <v/>
      </c>
      <c r="T75" s="2" t="str">
        <f t="shared" si="5"/>
        <v/>
      </c>
      <c r="AA75" s="1">
        <v>1.6</v>
      </c>
      <c r="AB75" s="2">
        <f t="shared" si="6"/>
        <v>0.955511445</v>
      </c>
    </row>
    <row r="76">
      <c r="A76" s="1" t="s">
        <v>118</v>
      </c>
      <c r="B76" s="1">
        <v>16.0</v>
      </c>
      <c r="C76" s="1" t="s">
        <v>16</v>
      </c>
      <c r="D76" s="1" t="s">
        <v>32</v>
      </c>
      <c r="E76" s="1" t="s">
        <v>18</v>
      </c>
      <c r="F76" s="1">
        <v>9.13</v>
      </c>
      <c r="G76" s="1">
        <v>4.07</v>
      </c>
      <c r="H76" s="1">
        <v>5.06</v>
      </c>
      <c r="I76" s="1">
        <v>6.84</v>
      </c>
      <c r="J76" s="1">
        <v>2.0</v>
      </c>
      <c r="K76" s="1">
        <v>5.4</v>
      </c>
      <c r="L76" s="1">
        <v>74.5</v>
      </c>
      <c r="M76" s="1">
        <v>161.0</v>
      </c>
      <c r="N76" s="1">
        <v>12.8</v>
      </c>
      <c r="O76" s="1">
        <v>52.8</v>
      </c>
      <c r="P76" s="2">
        <f t="shared" si="1"/>
        <v>0</v>
      </c>
      <c r="Q76" s="1" t="str">
        <f t="shared" si="2"/>
        <v>Low Leisure Screen</v>
      </c>
      <c r="R76" s="2" t="str">
        <f t="shared" si="3"/>
        <v>High Total Screen</v>
      </c>
      <c r="S76" s="2" t="str">
        <f t="shared" si="4"/>
        <v>Higher Exercise</v>
      </c>
      <c r="T76" s="2" t="str">
        <f t="shared" si="5"/>
        <v>Higher Social</v>
      </c>
      <c r="AA76" s="1">
        <v>4.07</v>
      </c>
      <c r="AB76" s="2">
        <f t="shared" si="6"/>
        <v>1.623340818</v>
      </c>
    </row>
    <row r="77">
      <c r="A77" s="1" t="s">
        <v>120</v>
      </c>
      <c r="B77" s="1">
        <v>36.0</v>
      </c>
      <c r="C77" s="1" t="s">
        <v>16</v>
      </c>
      <c r="D77" s="1" t="s">
        <v>17</v>
      </c>
      <c r="E77" s="1" t="s">
        <v>18</v>
      </c>
      <c r="F77" s="1">
        <v>9.26</v>
      </c>
      <c r="G77" s="1">
        <v>4.57</v>
      </c>
      <c r="H77" s="1">
        <v>4.69</v>
      </c>
      <c r="I77" s="1">
        <v>7.09</v>
      </c>
      <c r="J77" s="1">
        <v>1.0</v>
      </c>
      <c r="K77" s="1">
        <v>10.0</v>
      </c>
      <c r="L77" s="1">
        <v>51.1</v>
      </c>
      <c r="M77" s="1">
        <v>72.0</v>
      </c>
      <c r="N77" s="1">
        <v>9.9</v>
      </c>
      <c r="O77" s="1">
        <v>5.1</v>
      </c>
      <c r="P77" s="2">
        <f t="shared" si="1"/>
        <v>0</v>
      </c>
      <c r="Q77" s="1" t="str">
        <f t="shared" si="2"/>
        <v>Low Leisure Screen</v>
      </c>
      <c r="R77" s="2" t="str">
        <f t="shared" si="3"/>
        <v>High Total Screen</v>
      </c>
      <c r="S77" s="2" t="str">
        <f t="shared" si="4"/>
        <v>Lower Exercise</v>
      </c>
      <c r="T77" s="2" t="str">
        <f t="shared" si="5"/>
        <v>Higher Social</v>
      </c>
      <c r="AA77" s="1">
        <v>4.57</v>
      </c>
      <c r="AB77" s="2">
        <f t="shared" si="6"/>
        <v>1.717395054</v>
      </c>
    </row>
    <row r="78">
      <c r="A78" s="1" t="s">
        <v>121</v>
      </c>
      <c r="B78" s="1">
        <v>30.0</v>
      </c>
      <c r="C78" s="1" t="s">
        <v>16</v>
      </c>
      <c r="D78" s="1" t="s">
        <v>35</v>
      </c>
      <c r="E78" s="1" t="s">
        <v>18</v>
      </c>
      <c r="F78" s="1">
        <v>6.61</v>
      </c>
      <c r="G78" s="1">
        <v>1.82</v>
      </c>
      <c r="H78" s="1">
        <v>4.79</v>
      </c>
      <c r="I78" s="1">
        <v>7.26</v>
      </c>
      <c r="J78" s="1">
        <v>1.0</v>
      </c>
      <c r="K78" s="1">
        <v>6.8</v>
      </c>
      <c r="L78" s="1">
        <v>60.5</v>
      </c>
      <c r="M78" s="1">
        <v>88.0</v>
      </c>
      <c r="N78" s="1">
        <v>6.0</v>
      </c>
      <c r="O78" s="1">
        <v>19.3</v>
      </c>
      <c r="P78" s="2">
        <f t="shared" si="1"/>
        <v>0</v>
      </c>
      <c r="Q78" s="1" t="str">
        <f t="shared" si="2"/>
        <v>Low Leisure Screen</v>
      </c>
      <c r="R78" s="2" t="str">
        <f t="shared" si="3"/>
        <v>Low Total Screen</v>
      </c>
      <c r="S78" s="2" t="str">
        <f t="shared" si="4"/>
        <v/>
      </c>
      <c r="T78" s="2" t="str">
        <f t="shared" si="5"/>
        <v/>
      </c>
      <c r="AA78" s="1">
        <v>1.82</v>
      </c>
      <c r="AB78" s="2">
        <f t="shared" si="6"/>
        <v>1.036736885</v>
      </c>
    </row>
    <row r="79">
      <c r="A79" s="1" t="s">
        <v>122</v>
      </c>
      <c r="B79" s="1">
        <v>27.0</v>
      </c>
      <c r="C79" s="1" t="s">
        <v>16</v>
      </c>
      <c r="D79" s="1" t="s">
        <v>17</v>
      </c>
      <c r="E79" s="1" t="s">
        <v>23</v>
      </c>
      <c r="F79" s="1">
        <v>3.93</v>
      </c>
      <c r="G79" s="1">
        <v>1.02</v>
      </c>
      <c r="H79" s="1">
        <v>2.91</v>
      </c>
      <c r="I79" s="1">
        <v>8.75</v>
      </c>
      <c r="J79" s="1">
        <v>2.0</v>
      </c>
      <c r="K79" s="1">
        <v>2.2</v>
      </c>
      <c r="L79" s="1">
        <v>88.0</v>
      </c>
      <c r="M79" s="1">
        <v>286.0</v>
      </c>
      <c r="N79" s="1">
        <v>16.6</v>
      </c>
      <c r="O79" s="1">
        <v>68.4</v>
      </c>
      <c r="P79" s="2">
        <f t="shared" si="1"/>
        <v>0</v>
      </c>
      <c r="Q79" s="1" t="str">
        <f t="shared" si="2"/>
        <v>Low Leisure Screen</v>
      </c>
      <c r="R79" s="2" t="str">
        <f t="shared" si="3"/>
        <v>Low Total Screen</v>
      </c>
      <c r="S79" s="2" t="str">
        <f t="shared" si="4"/>
        <v/>
      </c>
      <c r="T79" s="2" t="str">
        <f t="shared" si="5"/>
        <v/>
      </c>
      <c r="AA79" s="1">
        <v>1.02</v>
      </c>
      <c r="AB79" s="2">
        <f t="shared" si="6"/>
        <v>0.7030975114</v>
      </c>
    </row>
    <row r="80">
      <c r="A80" s="1" t="s">
        <v>123</v>
      </c>
      <c r="B80" s="1">
        <v>30.0</v>
      </c>
      <c r="C80" s="1" t="s">
        <v>16</v>
      </c>
      <c r="D80" s="1" t="s">
        <v>35</v>
      </c>
      <c r="E80" s="1" t="s">
        <v>27</v>
      </c>
      <c r="F80" s="1">
        <v>11.75</v>
      </c>
      <c r="G80" s="1">
        <v>0.88</v>
      </c>
      <c r="H80" s="1">
        <v>10.87</v>
      </c>
      <c r="I80" s="1">
        <v>5.65</v>
      </c>
      <c r="J80" s="1">
        <v>1.0</v>
      </c>
      <c r="K80" s="1">
        <v>10.0</v>
      </c>
      <c r="L80" s="1">
        <v>41.5</v>
      </c>
      <c r="M80" s="1">
        <v>70.0</v>
      </c>
      <c r="N80" s="1">
        <v>10.3</v>
      </c>
      <c r="O80" s="1">
        <v>0.0</v>
      </c>
      <c r="P80" s="2">
        <f t="shared" si="1"/>
        <v>0</v>
      </c>
      <c r="Q80" s="1" t="str">
        <f t="shared" si="2"/>
        <v>High Leisure Screen</v>
      </c>
      <c r="R80" s="2" t="str">
        <f t="shared" si="3"/>
        <v>High Total Screen</v>
      </c>
      <c r="S80" s="2" t="str">
        <f t="shared" si="4"/>
        <v>Lower Exercise</v>
      </c>
      <c r="T80" s="2" t="str">
        <f t="shared" si="5"/>
        <v>Higher Social</v>
      </c>
      <c r="AA80" s="1">
        <v>0.88</v>
      </c>
      <c r="AB80" s="2">
        <f t="shared" si="6"/>
        <v>0.6312717768</v>
      </c>
    </row>
    <row r="81">
      <c r="A81" s="1" t="s">
        <v>125</v>
      </c>
      <c r="B81" s="1">
        <v>16.0</v>
      </c>
      <c r="C81" s="1" t="s">
        <v>16</v>
      </c>
      <c r="D81" s="1" t="s">
        <v>17</v>
      </c>
      <c r="E81" s="1" t="s">
        <v>27</v>
      </c>
      <c r="F81" s="1">
        <v>7.58</v>
      </c>
      <c r="G81" s="1">
        <v>0.38</v>
      </c>
      <c r="H81" s="1">
        <v>7.2</v>
      </c>
      <c r="I81" s="1">
        <v>7.61</v>
      </c>
      <c r="J81" s="1">
        <v>2.0</v>
      </c>
      <c r="K81" s="1">
        <v>4.5</v>
      </c>
      <c r="L81" s="1">
        <v>67.7</v>
      </c>
      <c r="M81" s="1">
        <v>157.0</v>
      </c>
      <c r="N81" s="1">
        <v>3.4</v>
      </c>
      <c r="O81" s="1">
        <v>61.4</v>
      </c>
      <c r="P81" s="2">
        <f t="shared" si="1"/>
        <v>0</v>
      </c>
      <c r="Q81" s="1" t="str">
        <f t="shared" si="2"/>
        <v>High Leisure Screen</v>
      </c>
      <c r="R81" s="2" t="str">
        <f t="shared" si="3"/>
        <v>Low Total Screen</v>
      </c>
      <c r="S81" s="2" t="str">
        <f t="shared" si="4"/>
        <v/>
      </c>
      <c r="T81" s="2" t="str">
        <f t="shared" si="5"/>
        <v/>
      </c>
      <c r="AA81" s="1">
        <v>0.38</v>
      </c>
      <c r="AB81" s="2">
        <f t="shared" si="6"/>
        <v>0.3220834992</v>
      </c>
    </row>
    <row r="82">
      <c r="A82" s="1" t="s">
        <v>126</v>
      </c>
      <c r="B82" s="1">
        <v>28.0</v>
      </c>
      <c r="C82" s="1" t="s">
        <v>16</v>
      </c>
      <c r="D82" s="1" t="s">
        <v>17</v>
      </c>
      <c r="E82" s="1" t="s">
        <v>23</v>
      </c>
      <c r="F82" s="1">
        <v>9.14</v>
      </c>
      <c r="G82" s="1">
        <v>1.99</v>
      </c>
      <c r="H82" s="1">
        <v>7.15</v>
      </c>
      <c r="I82" s="1">
        <v>7.89</v>
      </c>
      <c r="J82" s="1">
        <v>1.0</v>
      </c>
      <c r="K82" s="1">
        <v>9.4</v>
      </c>
      <c r="L82" s="1">
        <v>45.5</v>
      </c>
      <c r="M82" s="1">
        <v>103.0</v>
      </c>
      <c r="N82" s="1">
        <v>0.9</v>
      </c>
      <c r="O82" s="1">
        <v>11.7</v>
      </c>
      <c r="P82" s="2">
        <f t="shared" si="1"/>
        <v>0</v>
      </c>
      <c r="Q82" s="1" t="str">
        <f t="shared" si="2"/>
        <v>High Leisure Screen</v>
      </c>
      <c r="R82" s="2" t="str">
        <f t="shared" si="3"/>
        <v>High Total Screen</v>
      </c>
      <c r="S82" s="2" t="str">
        <f t="shared" si="4"/>
        <v>Lower Exercise</v>
      </c>
      <c r="T82" s="2" t="str">
        <f t="shared" si="5"/>
        <v>Lower Social</v>
      </c>
      <c r="AA82" s="1">
        <v>1.99</v>
      </c>
      <c r="AB82" s="2">
        <f t="shared" si="6"/>
        <v>1.095273387</v>
      </c>
    </row>
    <row r="83">
      <c r="A83" s="1" t="s">
        <v>127</v>
      </c>
      <c r="B83" s="1">
        <v>32.0</v>
      </c>
      <c r="C83" s="1" t="s">
        <v>16</v>
      </c>
      <c r="D83" s="1" t="s">
        <v>35</v>
      </c>
      <c r="E83" s="1" t="s">
        <v>23</v>
      </c>
      <c r="F83" s="1">
        <v>5.44</v>
      </c>
      <c r="G83" s="1">
        <v>0.45</v>
      </c>
      <c r="H83" s="1">
        <v>4.99</v>
      </c>
      <c r="I83" s="1">
        <v>8.18</v>
      </c>
      <c r="J83" s="1">
        <v>2.0</v>
      </c>
      <c r="K83" s="1">
        <v>3.0</v>
      </c>
      <c r="L83" s="1">
        <v>88.3</v>
      </c>
      <c r="M83" s="1">
        <v>0.0</v>
      </c>
      <c r="N83" s="1">
        <v>7.1</v>
      </c>
      <c r="O83" s="1">
        <v>56.1</v>
      </c>
      <c r="P83" s="2">
        <f t="shared" si="1"/>
        <v>0</v>
      </c>
      <c r="Q83" s="1" t="str">
        <f t="shared" si="2"/>
        <v>Low Leisure Screen</v>
      </c>
      <c r="R83" s="2" t="str">
        <f t="shared" si="3"/>
        <v>Low Total Screen</v>
      </c>
      <c r="S83" s="2" t="str">
        <f t="shared" si="4"/>
        <v/>
      </c>
      <c r="T83" s="2" t="str">
        <f t="shared" si="5"/>
        <v/>
      </c>
      <c r="AA83" s="1">
        <v>0.45</v>
      </c>
      <c r="AB83" s="2">
        <f t="shared" si="6"/>
        <v>0.3715635564</v>
      </c>
    </row>
    <row r="84">
      <c r="A84" s="1" t="s">
        <v>128</v>
      </c>
      <c r="B84" s="1">
        <v>41.0</v>
      </c>
      <c r="C84" s="1" t="s">
        <v>16</v>
      </c>
      <c r="D84" s="1" t="s">
        <v>32</v>
      </c>
      <c r="E84" s="1" t="s">
        <v>18</v>
      </c>
      <c r="F84" s="1">
        <v>9.86</v>
      </c>
      <c r="G84" s="1">
        <v>6.39</v>
      </c>
      <c r="H84" s="1">
        <v>3.47</v>
      </c>
      <c r="I84" s="1">
        <v>8.89</v>
      </c>
      <c r="J84" s="1">
        <v>3.0</v>
      </c>
      <c r="K84" s="1">
        <v>8.2</v>
      </c>
      <c r="L84" s="1">
        <v>66.3</v>
      </c>
      <c r="M84" s="1">
        <v>0.0</v>
      </c>
      <c r="N84" s="1">
        <v>15.8</v>
      </c>
      <c r="O84" s="1">
        <v>32.6</v>
      </c>
      <c r="P84" s="2">
        <f t="shared" si="1"/>
        <v>0</v>
      </c>
      <c r="Q84" s="1" t="str">
        <f t="shared" si="2"/>
        <v>Low Leisure Screen</v>
      </c>
      <c r="R84" s="2" t="str">
        <f t="shared" si="3"/>
        <v>High Total Screen</v>
      </c>
      <c r="S84" s="2" t="str">
        <f t="shared" si="4"/>
        <v>Lower Exercise</v>
      </c>
      <c r="T84" s="2" t="str">
        <f t="shared" si="5"/>
        <v>Higher Social</v>
      </c>
      <c r="AA84" s="1">
        <v>6.39</v>
      </c>
      <c r="AB84" s="2">
        <f t="shared" si="6"/>
        <v>2.000127735</v>
      </c>
    </row>
    <row r="85">
      <c r="A85" s="1" t="s">
        <v>129</v>
      </c>
      <c r="B85" s="1">
        <v>25.0</v>
      </c>
      <c r="C85" s="1" t="s">
        <v>30</v>
      </c>
      <c r="D85" s="1" t="s">
        <v>17</v>
      </c>
      <c r="E85" s="1" t="s">
        <v>23</v>
      </c>
      <c r="F85" s="1">
        <v>8.05</v>
      </c>
      <c r="G85" s="1">
        <v>1.1</v>
      </c>
      <c r="H85" s="1">
        <v>6.95</v>
      </c>
      <c r="I85" s="1">
        <v>6.72</v>
      </c>
      <c r="J85" s="1">
        <v>1.0</v>
      </c>
      <c r="K85" s="1">
        <v>7.1</v>
      </c>
      <c r="L85" s="1">
        <v>55.9</v>
      </c>
      <c r="M85" s="1">
        <v>67.0</v>
      </c>
      <c r="N85" s="1">
        <v>11.4</v>
      </c>
      <c r="O85" s="1">
        <v>17.5</v>
      </c>
      <c r="P85" s="2">
        <f t="shared" si="1"/>
        <v>0</v>
      </c>
      <c r="Q85" s="1" t="str">
        <f t="shared" si="2"/>
        <v>High Leisure Screen</v>
      </c>
      <c r="R85" s="2" t="str">
        <f t="shared" si="3"/>
        <v>Low Total Screen</v>
      </c>
      <c r="S85" s="2" t="str">
        <f t="shared" si="4"/>
        <v/>
      </c>
      <c r="T85" s="2" t="str">
        <f t="shared" si="5"/>
        <v/>
      </c>
      <c r="AA85" s="1">
        <v>1.1</v>
      </c>
      <c r="AB85" s="2">
        <f t="shared" si="6"/>
        <v>0.7419373447</v>
      </c>
    </row>
    <row r="86">
      <c r="A86" s="1" t="s">
        <v>130</v>
      </c>
      <c r="B86" s="1">
        <v>23.0</v>
      </c>
      <c r="C86" s="1" t="s">
        <v>16</v>
      </c>
      <c r="D86" s="1" t="s">
        <v>32</v>
      </c>
      <c r="E86" s="1" t="s">
        <v>18</v>
      </c>
      <c r="F86" s="1">
        <v>7.04</v>
      </c>
      <c r="G86" s="1">
        <v>3.5</v>
      </c>
      <c r="H86" s="1">
        <v>3.54</v>
      </c>
      <c r="I86" s="1">
        <v>8.04</v>
      </c>
      <c r="J86" s="1">
        <v>3.0</v>
      </c>
      <c r="K86" s="1">
        <v>4.6</v>
      </c>
      <c r="L86" s="1">
        <v>82.3</v>
      </c>
      <c r="M86" s="1">
        <v>186.0</v>
      </c>
      <c r="N86" s="1">
        <v>2.8</v>
      </c>
      <c r="O86" s="1">
        <v>72.6</v>
      </c>
      <c r="P86" s="2">
        <f t="shared" si="1"/>
        <v>0</v>
      </c>
      <c r="Q86" s="1" t="str">
        <f t="shared" si="2"/>
        <v>Low Leisure Screen</v>
      </c>
      <c r="R86" s="2" t="str">
        <f t="shared" si="3"/>
        <v>Low Total Screen</v>
      </c>
      <c r="S86" s="2" t="str">
        <f t="shared" si="4"/>
        <v/>
      </c>
      <c r="T86" s="2" t="str">
        <f t="shared" si="5"/>
        <v/>
      </c>
      <c r="AA86" s="1">
        <v>3.5</v>
      </c>
      <c r="AB86" s="2">
        <f t="shared" si="6"/>
        <v>1.504077397</v>
      </c>
    </row>
    <row r="87">
      <c r="A87" s="1" t="s">
        <v>131</v>
      </c>
      <c r="B87" s="1">
        <v>25.0</v>
      </c>
      <c r="C87" s="1" t="s">
        <v>30</v>
      </c>
      <c r="D87" s="1" t="s">
        <v>37</v>
      </c>
      <c r="E87" s="1" t="s">
        <v>18</v>
      </c>
      <c r="F87" s="1">
        <v>6.32</v>
      </c>
      <c r="G87" s="1">
        <v>1.72</v>
      </c>
      <c r="H87" s="1">
        <v>4.6</v>
      </c>
      <c r="I87" s="1">
        <v>7.32</v>
      </c>
      <c r="J87" s="1">
        <v>2.0</v>
      </c>
      <c r="K87" s="1">
        <v>6.3</v>
      </c>
      <c r="L87" s="1">
        <v>64.4</v>
      </c>
      <c r="M87" s="1">
        <v>173.0</v>
      </c>
      <c r="N87" s="1">
        <v>3.6</v>
      </c>
      <c r="O87" s="1">
        <v>30.8</v>
      </c>
      <c r="P87" s="2">
        <f t="shared" si="1"/>
        <v>0</v>
      </c>
      <c r="Q87" s="1" t="str">
        <f t="shared" si="2"/>
        <v>Low Leisure Screen</v>
      </c>
      <c r="R87" s="2" t="str">
        <f t="shared" si="3"/>
        <v>Low Total Screen</v>
      </c>
      <c r="S87" s="2" t="str">
        <f t="shared" si="4"/>
        <v/>
      </c>
      <c r="T87" s="2" t="str">
        <f t="shared" si="5"/>
        <v/>
      </c>
      <c r="AA87" s="1">
        <v>1.72</v>
      </c>
      <c r="AB87" s="2">
        <f t="shared" si="6"/>
        <v>1.00063188</v>
      </c>
    </row>
    <row r="88">
      <c r="A88" s="1" t="s">
        <v>133</v>
      </c>
      <c r="B88" s="1">
        <v>37.0</v>
      </c>
      <c r="C88" s="1" t="s">
        <v>30</v>
      </c>
      <c r="D88" s="1" t="s">
        <v>43</v>
      </c>
      <c r="E88" s="1" t="s">
        <v>18</v>
      </c>
      <c r="F88" s="1">
        <v>10.3</v>
      </c>
      <c r="G88" s="1">
        <v>2.73</v>
      </c>
      <c r="H88" s="1">
        <v>7.57</v>
      </c>
      <c r="I88" s="1">
        <v>7.91</v>
      </c>
      <c r="J88" s="1">
        <v>1.0</v>
      </c>
      <c r="K88" s="1">
        <v>9.1</v>
      </c>
      <c r="L88" s="1">
        <v>50.4</v>
      </c>
      <c r="M88" s="1">
        <v>164.0</v>
      </c>
      <c r="N88" s="1">
        <v>13.5</v>
      </c>
      <c r="O88" s="1">
        <v>12.2</v>
      </c>
      <c r="P88" s="2">
        <f t="shared" si="1"/>
        <v>0</v>
      </c>
      <c r="Q88" s="1" t="str">
        <f t="shared" si="2"/>
        <v>High Leisure Screen</v>
      </c>
      <c r="R88" s="2" t="str">
        <f t="shared" si="3"/>
        <v>High Total Screen</v>
      </c>
      <c r="S88" s="2" t="str">
        <f t="shared" si="4"/>
        <v>Higher Exercise</v>
      </c>
      <c r="T88" s="2" t="str">
        <f t="shared" si="5"/>
        <v>Higher Social</v>
      </c>
      <c r="AA88" s="1">
        <v>2.73</v>
      </c>
      <c r="AB88" s="2">
        <f t="shared" si="6"/>
        <v>1.316408234</v>
      </c>
    </row>
    <row r="89">
      <c r="A89" s="1" t="s">
        <v>134</v>
      </c>
      <c r="B89" s="1">
        <v>32.0</v>
      </c>
      <c r="C89" s="1" t="s">
        <v>16</v>
      </c>
      <c r="D89" s="1" t="s">
        <v>32</v>
      </c>
      <c r="E89" s="1" t="s">
        <v>18</v>
      </c>
      <c r="F89" s="1">
        <v>9.24</v>
      </c>
      <c r="G89" s="1">
        <v>2.53</v>
      </c>
      <c r="H89" s="1">
        <v>6.71</v>
      </c>
      <c r="I89" s="1">
        <v>7.03</v>
      </c>
      <c r="J89" s="1">
        <v>1.0</v>
      </c>
      <c r="K89" s="1">
        <v>9.3</v>
      </c>
      <c r="L89" s="1">
        <v>46.5</v>
      </c>
      <c r="M89" s="1">
        <v>34.0</v>
      </c>
      <c r="N89" s="1">
        <v>4.5</v>
      </c>
      <c r="O89" s="1">
        <v>5.0</v>
      </c>
      <c r="P89" s="2">
        <f t="shared" si="1"/>
        <v>0</v>
      </c>
      <c r="Q89" s="1" t="str">
        <f t="shared" si="2"/>
        <v>High Leisure Screen</v>
      </c>
      <c r="R89" s="2" t="str">
        <f t="shared" si="3"/>
        <v>High Total Screen</v>
      </c>
      <c r="S89" s="2" t="str">
        <f t="shared" si="4"/>
        <v>Lower Exercise</v>
      </c>
      <c r="T89" s="2" t="str">
        <f t="shared" si="5"/>
        <v>Lower Social</v>
      </c>
      <c r="AA89" s="1">
        <v>2.53</v>
      </c>
      <c r="AB89" s="2">
        <f t="shared" si="6"/>
        <v>1.261297871</v>
      </c>
    </row>
    <row r="90">
      <c r="A90" s="1" t="s">
        <v>135</v>
      </c>
      <c r="B90" s="1">
        <v>25.0</v>
      </c>
      <c r="C90" s="1" t="s">
        <v>30</v>
      </c>
      <c r="D90" s="1" t="s">
        <v>17</v>
      </c>
      <c r="E90" s="1" t="s">
        <v>27</v>
      </c>
      <c r="F90" s="1">
        <v>8.29</v>
      </c>
      <c r="G90" s="1">
        <v>1.0</v>
      </c>
      <c r="H90" s="1">
        <v>7.29</v>
      </c>
      <c r="I90" s="1">
        <v>6.8</v>
      </c>
      <c r="J90" s="1">
        <v>1.0</v>
      </c>
      <c r="K90" s="1">
        <v>6.4</v>
      </c>
      <c r="L90" s="1">
        <v>58.3</v>
      </c>
      <c r="M90" s="1">
        <v>219.0</v>
      </c>
      <c r="N90" s="1">
        <v>12.0</v>
      </c>
      <c r="O90" s="1">
        <v>34.5</v>
      </c>
      <c r="P90" s="2">
        <f t="shared" si="1"/>
        <v>0</v>
      </c>
      <c r="Q90" s="1" t="str">
        <f t="shared" si="2"/>
        <v>High Leisure Screen</v>
      </c>
      <c r="R90" s="2" t="str">
        <f t="shared" si="3"/>
        <v>Low Total Screen</v>
      </c>
      <c r="S90" s="2" t="str">
        <f t="shared" si="4"/>
        <v/>
      </c>
      <c r="T90" s="2" t="str">
        <f t="shared" si="5"/>
        <v/>
      </c>
      <c r="AA90" s="1">
        <v>1.0</v>
      </c>
      <c r="AB90" s="2">
        <f t="shared" si="6"/>
        <v>0.6931471806</v>
      </c>
    </row>
    <row r="91">
      <c r="A91" s="1" t="s">
        <v>136</v>
      </c>
      <c r="B91" s="1">
        <v>34.0</v>
      </c>
      <c r="C91" s="1" t="s">
        <v>30</v>
      </c>
      <c r="D91" s="1" t="s">
        <v>43</v>
      </c>
      <c r="E91" s="1" t="s">
        <v>23</v>
      </c>
      <c r="F91" s="1">
        <v>5.52</v>
      </c>
      <c r="G91" s="1">
        <v>0.92</v>
      </c>
      <c r="H91" s="1">
        <v>4.6</v>
      </c>
      <c r="I91" s="1">
        <v>8.66</v>
      </c>
      <c r="J91" s="1">
        <v>2.0</v>
      </c>
      <c r="K91" s="1">
        <v>6.2</v>
      </c>
      <c r="L91" s="1">
        <v>68.7</v>
      </c>
      <c r="M91" s="1">
        <v>59.0</v>
      </c>
      <c r="N91" s="1">
        <v>5.9</v>
      </c>
      <c r="O91" s="1">
        <v>38.1</v>
      </c>
      <c r="P91" s="2">
        <f t="shared" si="1"/>
        <v>0</v>
      </c>
      <c r="Q91" s="1" t="str">
        <f t="shared" si="2"/>
        <v>Low Leisure Screen</v>
      </c>
      <c r="R91" s="2" t="str">
        <f t="shared" si="3"/>
        <v>Low Total Screen</v>
      </c>
      <c r="S91" s="2" t="str">
        <f t="shared" si="4"/>
        <v/>
      </c>
      <c r="T91" s="2" t="str">
        <f t="shared" si="5"/>
        <v/>
      </c>
      <c r="AA91" s="1">
        <v>0.92</v>
      </c>
      <c r="AB91" s="2">
        <f t="shared" si="6"/>
        <v>0.652325186</v>
      </c>
    </row>
    <row r="92">
      <c r="A92" s="1" t="s">
        <v>138</v>
      </c>
      <c r="B92" s="1">
        <v>30.0</v>
      </c>
      <c r="C92" s="1" t="s">
        <v>16</v>
      </c>
      <c r="D92" s="1" t="s">
        <v>32</v>
      </c>
      <c r="E92" s="1" t="s">
        <v>18</v>
      </c>
      <c r="F92" s="1">
        <v>9.13</v>
      </c>
      <c r="G92" s="1">
        <v>2.42</v>
      </c>
      <c r="H92" s="1">
        <v>6.71</v>
      </c>
      <c r="I92" s="1">
        <v>6.64</v>
      </c>
      <c r="J92" s="1">
        <v>1.0</v>
      </c>
      <c r="K92" s="1">
        <v>10.0</v>
      </c>
      <c r="L92" s="1">
        <v>43.9</v>
      </c>
      <c r="M92" s="1">
        <v>118.0</v>
      </c>
      <c r="N92" s="1">
        <v>16.1</v>
      </c>
      <c r="O92" s="1">
        <v>0.0</v>
      </c>
      <c r="P92" s="2">
        <f t="shared" si="1"/>
        <v>0</v>
      </c>
      <c r="Q92" s="1" t="str">
        <f t="shared" si="2"/>
        <v>High Leisure Screen</v>
      </c>
      <c r="R92" s="2" t="str">
        <f t="shared" si="3"/>
        <v>High Total Screen</v>
      </c>
      <c r="S92" s="2" t="str">
        <f t="shared" si="4"/>
        <v>Higher Exercise</v>
      </c>
      <c r="T92" s="2" t="str">
        <f t="shared" si="5"/>
        <v>Higher Social</v>
      </c>
      <c r="AA92" s="1">
        <v>2.42</v>
      </c>
      <c r="AB92" s="2">
        <f t="shared" si="6"/>
        <v>1.229640551</v>
      </c>
    </row>
    <row r="93">
      <c r="A93" s="1" t="s">
        <v>139</v>
      </c>
      <c r="B93" s="1">
        <v>37.0</v>
      </c>
      <c r="C93" s="1" t="s">
        <v>16</v>
      </c>
      <c r="D93" s="1" t="s">
        <v>17</v>
      </c>
      <c r="E93" s="1" t="s">
        <v>18</v>
      </c>
      <c r="F93" s="1">
        <v>9.81</v>
      </c>
      <c r="G93" s="1">
        <v>2.46</v>
      </c>
      <c r="H93" s="1">
        <v>7.35</v>
      </c>
      <c r="I93" s="1">
        <v>5.87</v>
      </c>
      <c r="J93" s="1">
        <v>1.0</v>
      </c>
      <c r="K93" s="1">
        <v>10.0</v>
      </c>
      <c r="L93" s="1">
        <v>40.6</v>
      </c>
      <c r="M93" s="1">
        <v>102.0</v>
      </c>
      <c r="N93" s="1">
        <v>4.0</v>
      </c>
      <c r="O93" s="1">
        <v>0.0</v>
      </c>
      <c r="P93" s="2">
        <f t="shared" si="1"/>
        <v>0</v>
      </c>
      <c r="Q93" s="1" t="str">
        <f t="shared" si="2"/>
        <v>High Leisure Screen</v>
      </c>
      <c r="R93" s="2" t="str">
        <f t="shared" si="3"/>
        <v>High Total Screen</v>
      </c>
      <c r="S93" s="2" t="str">
        <f t="shared" si="4"/>
        <v>Lower Exercise</v>
      </c>
      <c r="T93" s="2" t="str">
        <f t="shared" si="5"/>
        <v>Lower Social</v>
      </c>
      <c r="AA93" s="1">
        <v>2.46</v>
      </c>
      <c r="AB93" s="2">
        <f t="shared" si="6"/>
        <v>1.241268589</v>
      </c>
    </row>
    <row r="94">
      <c r="A94" s="1" t="s">
        <v>140</v>
      </c>
      <c r="B94" s="1">
        <v>24.0</v>
      </c>
      <c r="C94" s="1" t="s">
        <v>30</v>
      </c>
      <c r="D94" s="1" t="s">
        <v>43</v>
      </c>
      <c r="E94" s="1" t="s">
        <v>27</v>
      </c>
      <c r="F94" s="1">
        <v>7.75</v>
      </c>
      <c r="G94" s="1">
        <v>0.96</v>
      </c>
      <c r="H94" s="1">
        <v>6.79</v>
      </c>
      <c r="I94" s="1">
        <v>6.76</v>
      </c>
      <c r="J94" s="1">
        <v>1.0</v>
      </c>
      <c r="K94" s="1">
        <v>8.3</v>
      </c>
      <c r="L94" s="1">
        <v>57.1</v>
      </c>
      <c r="M94" s="1">
        <v>96.0</v>
      </c>
      <c r="N94" s="1">
        <v>14.6</v>
      </c>
      <c r="O94" s="1">
        <v>10.7</v>
      </c>
      <c r="P94" s="2">
        <f t="shared" si="1"/>
        <v>0</v>
      </c>
      <c r="Q94" s="1" t="str">
        <f t="shared" si="2"/>
        <v>High Leisure Screen</v>
      </c>
      <c r="R94" s="2" t="str">
        <f t="shared" si="3"/>
        <v>Low Total Screen</v>
      </c>
      <c r="S94" s="2" t="str">
        <f t="shared" si="4"/>
        <v/>
      </c>
      <c r="T94" s="2" t="str">
        <f t="shared" si="5"/>
        <v/>
      </c>
      <c r="AA94" s="1">
        <v>0.96</v>
      </c>
      <c r="AB94" s="2">
        <f t="shared" si="6"/>
        <v>0.6729444732</v>
      </c>
    </row>
    <row r="95">
      <c r="A95" s="1" t="s">
        <v>141</v>
      </c>
      <c r="B95" s="1">
        <v>27.0</v>
      </c>
      <c r="C95" s="1" t="s">
        <v>30</v>
      </c>
      <c r="D95" s="1" t="s">
        <v>32</v>
      </c>
      <c r="E95" s="1" t="s">
        <v>23</v>
      </c>
      <c r="F95" s="1">
        <v>7.05</v>
      </c>
      <c r="G95" s="1">
        <v>0.62</v>
      </c>
      <c r="H95" s="1">
        <v>6.43</v>
      </c>
      <c r="I95" s="1">
        <v>7.81</v>
      </c>
      <c r="J95" s="1">
        <v>1.0</v>
      </c>
      <c r="K95" s="1">
        <v>8.8</v>
      </c>
      <c r="L95" s="1">
        <v>49.9</v>
      </c>
      <c r="M95" s="1">
        <v>208.0</v>
      </c>
      <c r="N95" s="1">
        <v>5.7</v>
      </c>
      <c r="O95" s="1">
        <v>14.4</v>
      </c>
      <c r="P95" s="2">
        <f t="shared" si="1"/>
        <v>0</v>
      </c>
      <c r="Q95" s="1" t="str">
        <f t="shared" si="2"/>
        <v>Low Leisure Screen</v>
      </c>
      <c r="R95" s="2" t="str">
        <f t="shared" si="3"/>
        <v>Low Total Screen</v>
      </c>
      <c r="S95" s="2" t="str">
        <f t="shared" si="4"/>
        <v/>
      </c>
      <c r="T95" s="2" t="str">
        <f t="shared" si="5"/>
        <v/>
      </c>
      <c r="AA95" s="1">
        <v>0.62</v>
      </c>
      <c r="AB95" s="2">
        <f t="shared" si="6"/>
        <v>0.4824261492</v>
      </c>
    </row>
    <row r="96">
      <c r="A96" s="1" t="s">
        <v>142</v>
      </c>
      <c r="B96" s="1">
        <v>26.0</v>
      </c>
      <c r="C96" s="1" t="s">
        <v>16</v>
      </c>
      <c r="D96" s="1" t="s">
        <v>17</v>
      </c>
      <c r="E96" s="1" t="s">
        <v>27</v>
      </c>
      <c r="F96" s="1">
        <v>7.83</v>
      </c>
      <c r="G96" s="1">
        <v>0.87</v>
      </c>
      <c r="H96" s="1">
        <v>6.96</v>
      </c>
      <c r="I96" s="1">
        <v>8.3</v>
      </c>
      <c r="J96" s="1">
        <v>3.0</v>
      </c>
      <c r="K96" s="1">
        <v>3.2</v>
      </c>
      <c r="L96" s="1">
        <v>95.0</v>
      </c>
      <c r="M96" s="1">
        <v>60.0</v>
      </c>
      <c r="N96" s="1">
        <v>8.7</v>
      </c>
      <c r="O96" s="1">
        <v>80.9</v>
      </c>
      <c r="P96" s="2">
        <f t="shared" si="1"/>
        <v>0</v>
      </c>
      <c r="Q96" s="1" t="str">
        <f t="shared" si="2"/>
        <v>High Leisure Screen</v>
      </c>
      <c r="R96" s="2" t="str">
        <f t="shared" si="3"/>
        <v>Low Total Screen</v>
      </c>
      <c r="S96" s="2" t="str">
        <f t="shared" si="4"/>
        <v/>
      </c>
      <c r="T96" s="2" t="str">
        <f t="shared" si="5"/>
        <v/>
      </c>
      <c r="AA96" s="1">
        <v>0.87</v>
      </c>
      <c r="AB96" s="2">
        <f t="shared" si="6"/>
        <v>0.6259384309</v>
      </c>
    </row>
    <row r="97">
      <c r="A97" s="1" t="s">
        <v>144</v>
      </c>
      <c r="B97" s="1">
        <v>18.0</v>
      </c>
      <c r="C97" s="1" t="s">
        <v>16</v>
      </c>
      <c r="D97" s="1" t="s">
        <v>17</v>
      </c>
      <c r="E97" s="1" t="s">
        <v>27</v>
      </c>
      <c r="F97" s="1">
        <v>10.17</v>
      </c>
      <c r="G97" s="1">
        <v>1.01</v>
      </c>
      <c r="H97" s="1">
        <v>9.16</v>
      </c>
      <c r="I97" s="1">
        <v>6.84</v>
      </c>
      <c r="J97" s="1">
        <v>1.0</v>
      </c>
      <c r="K97" s="1">
        <v>10.0</v>
      </c>
      <c r="L97" s="1">
        <v>51.5</v>
      </c>
      <c r="M97" s="1">
        <v>0.0</v>
      </c>
      <c r="N97" s="1">
        <v>0.0</v>
      </c>
      <c r="O97" s="1">
        <v>0.0</v>
      </c>
      <c r="P97" s="2">
        <f t="shared" si="1"/>
        <v>0</v>
      </c>
      <c r="Q97" s="1" t="str">
        <f t="shared" si="2"/>
        <v>High Leisure Screen</v>
      </c>
      <c r="R97" s="2" t="str">
        <f t="shared" si="3"/>
        <v>High Total Screen</v>
      </c>
      <c r="S97" s="2" t="str">
        <f t="shared" si="4"/>
        <v>Lower Exercise</v>
      </c>
      <c r="T97" s="2" t="str">
        <f t="shared" si="5"/>
        <v>Lower Social</v>
      </c>
      <c r="AA97" s="1">
        <v>1.01</v>
      </c>
      <c r="AB97" s="2">
        <f t="shared" si="6"/>
        <v>0.6981347221</v>
      </c>
    </row>
    <row r="98">
      <c r="A98" s="1" t="s">
        <v>145</v>
      </c>
      <c r="B98" s="1">
        <v>32.0</v>
      </c>
      <c r="C98" s="1" t="s">
        <v>16</v>
      </c>
      <c r="D98" s="1" t="s">
        <v>43</v>
      </c>
      <c r="E98" s="1" t="s">
        <v>18</v>
      </c>
      <c r="F98" s="1">
        <v>7.94</v>
      </c>
      <c r="G98" s="1">
        <v>2.93</v>
      </c>
      <c r="H98" s="1">
        <v>5.01</v>
      </c>
      <c r="I98" s="1">
        <v>8.28</v>
      </c>
      <c r="J98" s="1">
        <v>2.0</v>
      </c>
      <c r="K98" s="1">
        <v>8.3</v>
      </c>
      <c r="L98" s="1">
        <v>53.5</v>
      </c>
      <c r="M98" s="1">
        <v>113.0</v>
      </c>
      <c r="N98" s="1">
        <v>0.0</v>
      </c>
      <c r="O98" s="1">
        <v>18.7</v>
      </c>
      <c r="P98" s="2">
        <f t="shared" si="1"/>
        <v>0</v>
      </c>
      <c r="Q98" s="1" t="str">
        <f t="shared" si="2"/>
        <v>Low Leisure Screen</v>
      </c>
      <c r="R98" s="2" t="str">
        <f t="shared" si="3"/>
        <v>Low Total Screen</v>
      </c>
      <c r="S98" s="2" t="str">
        <f t="shared" si="4"/>
        <v/>
      </c>
      <c r="T98" s="2" t="str">
        <f t="shared" si="5"/>
        <v/>
      </c>
      <c r="AA98" s="1">
        <v>2.93</v>
      </c>
      <c r="AB98" s="2">
        <f t="shared" si="6"/>
        <v>1.368639426</v>
      </c>
    </row>
    <row r="99">
      <c r="A99" s="1" t="s">
        <v>146</v>
      </c>
      <c r="B99" s="1">
        <v>32.0</v>
      </c>
      <c r="C99" s="1" t="s">
        <v>16</v>
      </c>
      <c r="D99" s="1" t="s">
        <v>37</v>
      </c>
      <c r="E99" s="1" t="s">
        <v>18</v>
      </c>
      <c r="F99" s="1">
        <v>9.58</v>
      </c>
      <c r="G99" s="1">
        <v>3.64</v>
      </c>
      <c r="H99" s="1">
        <v>5.94</v>
      </c>
      <c r="I99" s="1">
        <v>5.9</v>
      </c>
      <c r="J99" s="1">
        <v>1.0</v>
      </c>
      <c r="K99" s="1">
        <v>8.9</v>
      </c>
      <c r="L99" s="1">
        <v>48.4</v>
      </c>
      <c r="M99" s="1">
        <v>74.0</v>
      </c>
      <c r="N99" s="1">
        <v>6.1</v>
      </c>
      <c r="O99" s="1">
        <v>6.1</v>
      </c>
      <c r="P99" s="2">
        <f t="shared" si="1"/>
        <v>0</v>
      </c>
      <c r="Q99" s="1" t="str">
        <f t="shared" si="2"/>
        <v>Low Leisure Screen</v>
      </c>
      <c r="R99" s="2" t="str">
        <f t="shared" si="3"/>
        <v>High Total Screen</v>
      </c>
      <c r="S99" s="2" t="str">
        <f t="shared" si="4"/>
        <v>Lower Exercise</v>
      </c>
      <c r="T99" s="2" t="str">
        <f t="shared" si="5"/>
        <v>Lower Social</v>
      </c>
      <c r="AA99" s="1">
        <v>3.64</v>
      </c>
      <c r="AB99" s="2">
        <f t="shared" si="6"/>
        <v>1.534714366</v>
      </c>
    </row>
    <row r="100">
      <c r="A100" s="1" t="s">
        <v>147</v>
      </c>
      <c r="B100" s="1">
        <v>30.0</v>
      </c>
      <c r="C100" s="1" t="s">
        <v>30</v>
      </c>
      <c r="D100" s="1" t="s">
        <v>43</v>
      </c>
      <c r="E100" s="1" t="s">
        <v>23</v>
      </c>
      <c r="F100" s="1">
        <v>3.69</v>
      </c>
      <c r="G100" s="1">
        <v>0.67</v>
      </c>
      <c r="H100" s="1">
        <v>3.02</v>
      </c>
      <c r="I100" s="1">
        <v>7.49</v>
      </c>
      <c r="J100" s="1">
        <v>1.0</v>
      </c>
      <c r="K100" s="1">
        <v>6.8</v>
      </c>
      <c r="L100" s="1">
        <v>61.4</v>
      </c>
      <c r="M100" s="1">
        <v>372.0</v>
      </c>
      <c r="N100" s="1">
        <v>10.6</v>
      </c>
      <c r="O100" s="1">
        <v>30.3</v>
      </c>
      <c r="P100" s="2">
        <f t="shared" si="1"/>
        <v>0</v>
      </c>
      <c r="Q100" s="1" t="str">
        <f t="shared" si="2"/>
        <v>Low Leisure Screen</v>
      </c>
      <c r="R100" s="2" t="str">
        <f t="shared" si="3"/>
        <v>Low Total Screen</v>
      </c>
      <c r="S100" s="2" t="str">
        <f t="shared" si="4"/>
        <v/>
      </c>
      <c r="T100" s="2" t="str">
        <f t="shared" si="5"/>
        <v/>
      </c>
      <c r="AA100" s="1">
        <v>0.67</v>
      </c>
      <c r="AB100" s="2">
        <f t="shared" si="6"/>
        <v>0.5128236264</v>
      </c>
    </row>
    <row r="101">
      <c r="A101" s="1" t="s">
        <v>148</v>
      </c>
      <c r="B101" s="1">
        <v>28.0</v>
      </c>
      <c r="C101" s="1" t="s">
        <v>16</v>
      </c>
      <c r="D101" s="1" t="s">
        <v>17</v>
      </c>
      <c r="E101" s="1" t="s">
        <v>23</v>
      </c>
      <c r="F101" s="1">
        <v>7.58</v>
      </c>
      <c r="G101" s="1">
        <v>0.38</v>
      </c>
      <c r="H101" s="1">
        <v>7.2</v>
      </c>
      <c r="I101" s="1">
        <v>7.01</v>
      </c>
      <c r="J101" s="1">
        <v>1.0</v>
      </c>
      <c r="K101" s="1">
        <v>7.7</v>
      </c>
      <c r="L101" s="1">
        <v>53.9</v>
      </c>
      <c r="M101" s="1">
        <v>159.0</v>
      </c>
      <c r="N101" s="1">
        <v>4.3</v>
      </c>
      <c r="O101" s="1">
        <v>24.2</v>
      </c>
      <c r="P101" s="2">
        <f t="shared" si="1"/>
        <v>0</v>
      </c>
      <c r="Q101" s="1" t="str">
        <f t="shared" si="2"/>
        <v>High Leisure Screen</v>
      </c>
      <c r="R101" s="2" t="str">
        <f t="shared" si="3"/>
        <v>Low Total Screen</v>
      </c>
      <c r="S101" s="2" t="str">
        <f t="shared" si="4"/>
        <v/>
      </c>
      <c r="T101" s="2" t="str">
        <f t="shared" si="5"/>
        <v/>
      </c>
      <c r="AA101" s="1">
        <v>0.38</v>
      </c>
      <c r="AB101" s="2">
        <f t="shared" si="6"/>
        <v>0.3220834992</v>
      </c>
    </row>
    <row r="102">
      <c r="A102" s="1" t="s">
        <v>149</v>
      </c>
      <c r="B102" s="1">
        <v>18.0</v>
      </c>
      <c r="C102" s="1" t="s">
        <v>16</v>
      </c>
      <c r="D102" s="1" t="s">
        <v>35</v>
      </c>
      <c r="E102" s="1" t="s">
        <v>18</v>
      </c>
      <c r="F102" s="1">
        <v>9.82</v>
      </c>
      <c r="G102" s="1">
        <v>5.22</v>
      </c>
      <c r="H102" s="1">
        <v>4.6</v>
      </c>
      <c r="I102" s="1">
        <v>6.72</v>
      </c>
      <c r="J102" s="1">
        <v>1.0</v>
      </c>
      <c r="K102" s="1">
        <v>9.2</v>
      </c>
      <c r="L102" s="1">
        <v>58.5</v>
      </c>
      <c r="M102" s="1">
        <v>64.0</v>
      </c>
      <c r="N102" s="1">
        <v>2.7</v>
      </c>
      <c r="O102" s="1">
        <v>10.7</v>
      </c>
      <c r="P102" s="2">
        <f t="shared" si="1"/>
        <v>0</v>
      </c>
      <c r="Q102" s="1" t="str">
        <f t="shared" si="2"/>
        <v>Low Leisure Screen</v>
      </c>
      <c r="R102" s="2" t="str">
        <f t="shared" si="3"/>
        <v>High Total Screen</v>
      </c>
      <c r="S102" s="2" t="str">
        <f t="shared" si="4"/>
        <v>Lower Exercise</v>
      </c>
      <c r="T102" s="2" t="str">
        <f t="shared" si="5"/>
        <v>Lower Social</v>
      </c>
      <c r="AA102" s="1">
        <v>5.22</v>
      </c>
      <c r="AB102" s="2">
        <f t="shared" si="6"/>
        <v>1.827769907</v>
      </c>
    </row>
    <row r="103">
      <c r="A103" s="1" t="s">
        <v>150</v>
      </c>
      <c r="B103" s="1">
        <v>26.0</v>
      </c>
      <c r="C103" s="1" t="s">
        <v>30</v>
      </c>
      <c r="D103" s="1" t="s">
        <v>35</v>
      </c>
      <c r="E103" s="1" t="s">
        <v>23</v>
      </c>
      <c r="F103" s="1">
        <v>8.53</v>
      </c>
      <c r="G103" s="1">
        <v>0.43</v>
      </c>
      <c r="H103" s="1">
        <v>8.1</v>
      </c>
      <c r="I103" s="1">
        <v>7.15</v>
      </c>
      <c r="J103" s="1">
        <v>1.0</v>
      </c>
      <c r="K103" s="1">
        <v>9.5</v>
      </c>
      <c r="L103" s="1">
        <v>45.4</v>
      </c>
      <c r="M103" s="1">
        <v>31.0</v>
      </c>
      <c r="N103" s="1">
        <v>8.3</v>
      </c>
      <c r="O103" s="1">
        <v>6.7</v>
      </c>
      <c r="P103" s="2">
        <f t="shared" si="1"/>
        <v>0</v>
      </c>
      <c r="Q103" s="1" t="str">
        <f t="shared" si="2"/>
        <v>High Leisure Screen</v>
      </c>
      <c r="R103" s="2" t="str">
        <f t="shared" si="3"/>
        <v>Low Total Screen</v>
      </c>
      <c r="S103" s="2" t="str">
        <f t="shared" si="4"/>
        <v/>
      </c>
      <c r="T103" s="2" t="str">
        <f t="shared" si="5"/>
        <v/>
      </c>
      <c r="AA103" s="1">
        <v>0.43</v>
      </c>
      <c r="AB103" s="2">
        <f t="shared" si="6"/>
        <v>0.3576744443</v>
      </c>
    </row>
    <row r="104">
      <c r="A104" s="1" t="s">
        <v>151</v>
      </c>
      <c r="B104" s="1">
        <v>27.0</v>
      </c>
      <c r="C104" s="1" t="s">
        <v>16</v>
      </c>
      <c r="D104" s="1" t="s">
        <v>17</v>
      </c>
      <c r="E104" s="1" t="s">
        <v>27</v>
      </c>
      <c r="F104" s="1">
        <v>7.32</v>
      </c>
      <c r="G104" s="1">
        <v>0.61</v>
      </c>
      <c r="H104" s="1">
        <v>6.71</v>
      </c>
      <c r="I104" s="1">
        <v>7.82</v>
      </c>
      <c r="J104" s="1">
        <v>2.0</v>
      </c>
      <c r="K104" s="1">
        <v>5.1</v>
      </c>
      <c r="L104" s="1">
        <v>74.8</v>
      </c>
      <c r="M104" s="1">
        <v>0.0</v>
      </c>
      <c r="N104" s="1">
        <v>10.9</v>
      </c>
      <c r="O104" s="1">
        <v>41.4</v>
      </c>
      <c r="P104" s="2">
        <f t="shared" si="1"/>
        <v>0</v>
      </c>
      <c r="Q104" s="1" t="str">
        <f t="shared" si="2"/>
        <v>High Leisure Screen</v>
      </c>
      <c r="R104" s="2" t="str">
        <f t="shared" si="3"/>
        <v>Low Total Screen</v>
      </c>
      <c r="S104" s="2" t="str">
        <f t="shared" si="4"/>
        <v/>
      </c>
      <c r="T104" s="2" t="str">
        <f t="shared" si="5"/>
        <v/>
      </c>
      <c r="AA104" s="1">
        <v>0.61</v>
      </c>
      <c r="AB104" s="2">
        <f t="shared" si="6"/>
        <v>0.476234179</v>
      </c>
    </row>
    <row r="105">
      <c r="A105" s="1" t="s">
        <v>152</v>
      </c>
      <c r="B105" s="1">
        <v>23.0</v>
      </c>
      <c r="C105" s="1" t="s">
        <v>16</v>
      </c>
      <c r="D105" s="1" t="s">
        <v>35</v>
      </c>
      <c r="E105" s="1" t="s">
        <v>23</v>
      </c>
      <c r="F105" s="1">
        <v>4.3</v>
      </c>
      <c r="G105" s="1">
        <v>0.48</v>
      </c>
      <c r="H105" s="1">
        <v>3.82</v>
      </c>
      <c r="I105" s="1">
        <v>7.33</v>
      </c>
      <c r="J105" s="1">
        <v>1.0</v>
      </c>
      <c r="K105" s="1">
        <v>7.0</v>
      </c>
      <c r="L105" s="1">
        <v>66.8</v>
      </c>
      <c r="M105" s="1">
        <v>57.0</v>
      </c>
      <c r="N105" s="1">
        <v>8.1</v>
      </c>
      <c r="O105" s="1">
        <v>27.3</v>
      </c>
      <c r="P105" s="2">
        <f t="shared" si="1"/>
        <v>0</v>
      </c>
      <c r="Q105" s="1" t="str">
        <f t="shared" si="2"/>
        <v>Low Leisure Screen</v>
      </c>
      <c r="R105" s="2" t="str">
        <f t="shared" si="3"/>
        <v>Low Total Screen</v>
      </c>
      <c r="S105" s="2" t="str">
        <f t="shared" si="4"/>
        <v/>
      </c>
      <c r="T105" s="2" t="str">
        <f t="shared" si="5"/>
        <v/>
      </c>
      <c r="AA105" s="1">
        <v>0.48</v>
      </c>
      <c r="AB105" s="2">
        <f t="shared" si="6"/>
        <v>0.3920420878</v>
      </c>
    </row>
    <row r="106">
      <c r="A106" s="1" t="s">
        <v>153</v>
      </c>
      <c r="B106" s="1">
        <v>28.0</v>
      </c>
      <c r="C106" s="1" t="s">
        <v>30</v>
      </c>
      <c r="D106" s="1" t="s">
        <v>32</v>
      </c>
      <c r="E106" s="1" t="s">
        <v>18</v>
      </c>
      <c r="F106" s="1">
        <v>12.51</v>
      </c>
      <c r="G106" s="1">
        <v>6.79</v>
      </c>
      <c r="H106" s="1">
        <v>5.72</v>
      </c>
      <c r="I106" s="1">
        <v>6.61</v>
      </c>
      <c r="J106" s="1">
        <v>1.0</v>
      </c>
      <c r="K106" s="1">
        <v>10.0</v>
      </c>
      <c r="L106" s="1">
        <v>33.2</v>
      </c>
      <c r="M106" s="1">
        <v>90.0</v>
      </c>
      <c r="N106" s="1">
        <v>6.6</v>
      </c>
      <c r="O106" s="1">
        <v>2.9</v>
      </c>
      <c r="P106" s="2">
        <f t="shared" si="1"/>
        <v>0</v>
      </c>
      <c r="Q106" s="1" t="str">
        <f t="shared" si="2"/>
        <v>Low Leisure Screen</v>
      </c>
      <c r="R106" s="2" t="str">
        <f t="shared" si="3"/>
        <v>High Total Screen</v>
      </c>
      <c r="S106" s="2" t="str">
        <f t="shared" si="4"/>
        <v>Lower Exercise</v>
      </c>
      <c r="T106" s="2" t="str">
        <f t="shared" si="5"/>
        <v>Lower Social</v>
      </c>
      <c r="AA106" s="1">
        <v>6.79</v>
      </c>
      <c r="AB106" s="2">
        <f t="shared" si="6"/>
        <v>2.05284086</v>
      </c>
    </row>
    <row r="107">
      <c r="A107" s="1" t="s">
        <v>154</v>
      </c>
      <c r="B107" s="1">
        <v>33.0</v>
      </c>
      <c r="C107" s="1" t="s">
        <v>30</v>
      </c>
      <c r="D107" s="1" t="s">
        <v>17</v>
      </c>
      <c r="E107" s="1" t="s">
        <v>27</v>
      </c>
      <c r="F107" s="1">
        <v>4.89</v>
      </c>
      <c r="G107" s="1">
        <v>0.62</v>
      </c>
      <c r="H107" s="1">
        <v>4.27</v>
      </c>
      <c r="I107" s="1">
        <v>7.66</v>
      </c>
      <c r="J107" s="1">
        <v>1.0</v>
      </c>
      <c r="K107" s="1">
        <v>4.3</v>
      </c>
      <c r="L107" s="1">
        <v>68.3</v>
      </c>
      <c r="M107" s="1">
        <v>230.0</v>
      </c>
      <c r="N107" s="1">
        <v>2.0</v>
      </c>
      <c r="O107" s="1">
        <v>39.9</v>
      </c>
      <c r="P107" s="2">
        <f t="shared" si="1"/>
        <v>0</v>
      </c>
      <c r="Q107" s="1" t="str">
        <f t="shared" si="2"/>
        <v>Low Leisure Screen</v>
      </c>
      <c r="R107" s="2" t="str">
        <f t="shared" si="3"/>
        <v>Low Total Screen</v>
      </c>
      <c r="S107" s="2" t="str">
        <f t="shared" si="4"/>
        <v/>
      </c>
      <c r="T107" s="2" t="str">
        <f t="shared" si="5"/>
        <v/>
      </c>
      <c r="AA107" s="1">
        <v>0.62</v>
      </c>
      <c r="AB107" s="2">
        <f t="shared" si="6"/>
        <v>0.4824261492</v>
      </c>
    </row>
    <row r="108">
      <c r="A108" s="1" t="s">
        <v>156</v>
      </c>
      <c r="B108" s="1">
        <v>45.0</v>
      </c>
      <c r="C108" s="1" t="s">
        <v>16</v>
      </c>
      <c r="D108" s="1" t="s">
        <v>32</v>
      </c>
      <c r="E108" s="1" t="s">
        <v>18</v>
      </c>
      <c r="F108" s="1">
        <v>11.1</v>
      </c>
      <c r="G108" s="1">
        <v>4.95</v>
      </c>
      <c r="H108" s="1">
        <v>6.15</v>
      </c>
      <c r="I108" s="1">
        <v>6.14</v>
      </c>
      <c r="J108" s="1">
        <v>1.0</v>
      </c>
      <c r="K108" s="1">
        <v>9.5</v>
      </c>
      <c r="L108" s="1">
        <v>36.1</v>
      </c>
      <c r="M108" s="1">
        <v>177.0</v>
      </c>
      <c r="N108" s="1">
        <v>4.6</v>
      </c>
      <c r="O108" s="1">
        <v>8.8</v>
      </c>
      <c r="P108" s="2">
        <f t="shared" si="1"/>
        <v>0</v>
      </c>
      <c r="Q108" s="1" t="str">
        <f t="shared" si="2"/>
        <v>Low Leisure Screen</v>
      </c>
      <c r="R108" s="2" t="str">
        <f t="shared" si="3"/>
        <v>High Total Screen</v>
      </c>
      <c r="S108" s="2" t="str">
        <f t="shared" si="4"/>
        <v>Higher Exercise</v>
      </c>
      <c r="T108" s="2" t="str">
        <f t="shared" si="5"/>
        <v>Lower Social</v>
      </c>
      <c r="AA108" s="1">
        <v>4.95</v>
      </c>
      <c r="AB108" s="2">
        <f t="shared" si="6"/>
        <v>1.78339122</v>
      </c>
    </row>
    <row r="109">
      <c r="A109" s="1" t="s">
        <v>157</v>
      </c>
      <c r="B109" s="1">
        <v>31.0</v>
      </c>
      <c r="C109" s="1" t="s">
        <v>30</v>
      </c>
      <c r="D109" s="1" t="s">
        <v>32</v>
      </c>
      <c r="E109" s="1" t="s">
        <v>27</v>
      </c>
      <c r="F109" s="1">
        <v>10.84</v>
      </c>
      <c r="G109" s="1">
        <v>0.58</v>
      </c>
      <c r="H109" s="1">
        <v>10.26</v>
      </c>
      <c r="I109" s="1">
        <v>6.69</v>
      </c>
      <c r="J109" s="1">
        <v>1.0</v>
      </c>
      <c r="K109" s="1">
        <v>10.0</v>
      </c>
      <c r="L109" s="1">
        <v>36.4</v>
      </c>
      <c r="M109" s="1">
        <v>109.0</v>
      </c>
      <c r="N109" s="1">
        <v>14.9</v>
      </c>
      <c r="O109" s="1">
        <v>0.3</v>
      </c>
      <c r="P109" s="2">
        <f t="shared" si="1"/>
        <v>0</v>
      </c>
      <c r="Q109" s="1" t="str">
        <f t="shared" si="2"/>
        <v>High Leisure Screen</v>
      </c>
      <c r="R109" s="2" t="str">
        <f t="shared" si="3"/>
        <v>High Total Screen</v>
      </c>
      <c r="S109" s="2" t="str">
        <f t="shared" si="4"/>
        <v>Higher Exercise</v>
      </c>
      <c r="T109" s="2" t="str">
        <f t="shared" si="5"/>
        <v>Higher Social</v>
      </c>
      <c r="AA109" s="1">
        <v>0.58</v>
      </c>
      <c r="AB109" s="2">
        <f t="shared" si="6"/>
        <v>0.457424847</v>
      </c>
    </row>
    <row r="110">
      <c r="A110" s="1" t="s">
        <v>158</v>
      </c>
      <c r="B110" s="1">
        <v>32.0</v>
      </c>
      <c r="C110" s="1" t="s">
        <v>16</v>
      </c>
      <c r="D110" s="1" t="s">
        <v>32</v>
      </c>
      <c r="E110" s="1" t="s">
        <v>18</v>
      </c>
      <c r="F110" s="1">
        <v>13.9</v>
      </c>
      <c r="G110" s="1">
        <v>5.84</v>
      </c>
      <c r="H110" s="1">
        <v>8.06</v>
      </c>
      <c r="I110" s="1">
        <v>6.22</v>
      </c>
      <c r="J110" s="1">
        <v>2.0</v>
      </c>
      <c r="K110" s="1">
        <v>10.0</v>
      </c>
      <c r="L110" s="1">
        <v>26.0</v>
      </c>
      <c r="M110" s="1">
        <v>53.0</v>
      </c>
      <c r="N110" s="1">
        <v>3.0</v>
      </c>
      <c r="O110" s="1">
        <v>8.7</v>
      </c>
      <c r="P110" s="2">
        <f t="shared" si="1"/>
        <v>0</v>
      </c>
      <c r="Q110" s="1" t="str">
        <f t="shared" si="2"/>
        <v>High Leisure Screen</v>
      </c>
      <c r="R110" s="2" t="str">
        <f t="shared" si="3"/>
        <v>High Total Screen</v>
      </c>
      <c r="S110" s="2" t="str">
        <f t="shared" si="4"/>
        <v>Lower Exercise</v>
      </c>
      <c r="T110" s="2" t="str">
        <f t="shared" si="5"/>
        <v>Lower Social</v>
      </c>
      <c r="AA110" s="1">
        <v>5.84</v>
      </c>
      <c r="AB110" s="2">
        <f t="shared" si="6"/>
        <v>1.922787732</v>
      </c>
    </row>
    <row r="111">
      <c r="A111" s="1" t="s">
        <v>159</v>
      </c>
      <c r="B111" s="1">
        <v>29.0</v>
      </c>
      <c r="C111" s="1" t="s">
        <v>16</v>
      </c>
      <c r="D111" s="1" t="s">
        <v>17</v>
      </c>
      <c r="E111" s="1" t="s">
        <v>18</v>
      </c>
      <c r="F111" s="1">
        <v>12.05</v>
      </c>
      <c r="G111" s="1">
        <v>2.66</v>
      </c>
      <c r="H111" s="1">
        <v>9.39</v>
      </c>
      <c r="I111" s="1">
        <v>6.45</v>
      </c>
      <c r="J111" s="1">
        <v>1.0</v>
      </c>
      <c r="K111" s="1">
        <v>9.6</v>
      </c>
      <c r="L111" s="1">
        <v>44.8</v>
      </c>
      <c r="M111" s="1">
        <v>104.0</v>
      </c>
      <c r="N111" s="1">
        <v>9.3</v>
      </c>
      <c r="O111" s="1">
        <v>4.1</v>
      </c>
      <c r="P111" s="2">
        <f t="shared" si="1"/>
        <v>0</v>
      </c>
      <c r="Q111" s="1" t="str">
        <f t="shared" si="2"/>
        <v>High Leisure Screen</v>
      </c>
      <c r="R111" s="2" t="str">
        <f t="shared" si="3"/>
        <v>High Total Screen</v>
      </c>
      <c r="S111" s="2" t="str">
        <f t="shared" si="4"/>
        <v>Higher Exercise</v>
      </c>
      <c r="T111" s="2" t="str">
        <f t="shared" si="5"/>
        <v>Higher Social</v>
      </c>
      <c r="AA111" s="1">
        <v>2.66</v>
      </c>
      <c r="AB111" s="2">
        <f t="shared" si="6"/>
        <v>1.297463147</v>
      </c>
    </row>
    <row r="112">
      <c r="A112" s="1" t="s">
        <v>161</v>
      </c>
      <c r="B112" s="1">
        <v>16.0</v>
      </c>
      <c r="C112" s="1" t="s">
        <v>30</v>
      </c>
      <c r="D112" s="1" t="s">
        <v>17</v>
      </c>
      <c r="E112" s="1" t="s">
        <v>27</v>
      </c>
      <c r="F112" s="1">
        <v>6.34</v>
      </c>
      <c r="G112" s="1">
        <v>0.35</v>
      </c>
      <c r="H112" s="1">
        <v>5.99</v>
      </c>
      <c r="I112" s="1">
        <v>7.33</v>
      </c>
      <c r="J112" s="1">
        <v>2.0</v>
      </c>
      <c r="K112" s="1">
        <v>5.0</v>
      </c>
      <c r="L112" s="1">
        <v>86.8</v>
      </c>
      <c r="M112" s="1">
        <v>77.0</v>
      </c>
      <c r="N112" s="1">
        <v>20.0</v>
      </c>
      <c r="O112" s="1">
        <v>54.7</v>
      </c>
      <c r="P112" s="2">
        <f t="shared" si="1"/>
        <v>0</v>
      </c>
      <c r="Q112" s="1" t="str">
        <f t="shared" si="2"/>
        <v>Low Leisure Screen</v>
      </c>
      <c r="R112" s="2" t="str">
        <f t="shared" si="3"/>
        <v>Low Total Screen</v>
      </c>
      <c r="S112" s="2" t="str">
        <f t="shared" si="4"/>
        <v/>
      </c>
      <c r="T112" s="2" t="str">
        <f t="shared" si="5"/>
        <v/>
      </c>
      <c r="AA112" s="1">
        <v>0.35</v>
      </c>
      <c r="AB112" s="2">
        <f t="shared" si="6"/>
        <v>0.3001045925</v>
      </c>
    </row>
    <row r="113">
      <c r="A113" s="1" t="s">
        <v>162</v>
      </c>
      <c r="B113" s="1">
        <v>29.0</v>
      </c>
      <c r="C113" s="1" t="s">
        <v>16</v>
      </c>
      <c r="D113" s="1" t="s">
        <v>17</v>
      </c>
      <c r="E113" s="1" t="s">
        <v>23</v>
      </c>
      <c r="F113" s="1">
        <v>11.04</v>
      </c>
      <c r="G113" s="1">
        <v>0.85</v>
      </c>
      <c r="H113" s="1">
        <v>10.19</v>
      </c>
      <c r="I113" s="1">
        <v>6.79</v>
      </c>
      <c r="J113" s="1">
        <v>1.0</v>
      </c>
      <c r="K113" s="1">
        <v>10.0</v>
      </c>
      <c r="L113" s="1">
        <v>42.3</v>
      </c>
      <c r="M113" s="1">
        <v>212.0</v>
      </c>
      <c r="N113" s="1">
        <v>0.0</v>
      </c>
      <c r="O113" s="1">
        <v>4.7</v>
      </c>
      <c r="P113" s="2">
        <f t="shared" si="1"/>
        <v>0</v>
      </c>
      <c r="Q113" s="1" t="str">
        <f t="shared" si="2"/>
        <v>High Leisure Screen</v>
      </c>
      <c r="R113" s="2" t="str">
        <f t="shared" si="3"/>
        <v>High Total Screen</v>
      </c>
      <c r="S113" s="2" t="str">
        <f t="shared" si="4"/>
        <v>Higher Exercise</v>
      </c>
      <c r="T113" s="2" t="str">
        <f t="shared" si="5"/>
        <v>Lower Social</v>
      </c>
      <c r="AA113" s="1">
        <v>0.85</v>
      </c>
      <c r="AB113" s="2">
        <f t="shared" si="6"/>
        <v>0.6151856391</v>
      </c>
    </row>
    <row r="114">
      <c r="A114" s="1" t="s">
        <v>163</v>
      </c>
      <c r="B114" s="1">
        <v>30.0</v>
      </c>
      <c r="C114" s="1" t="s">
        <v>16</v>
      </c>
      <c r="D114" s="1" t="s">
        <v>32</v>
      </c>
      <c r="E114" s="1" t="s">
        <v>18</v>
      </c>
      <c r="F114" s="1">
        <v>11.19</v>
      </c>
      <c r="G114" s="1">
        <v>5.16</v>
      </c>
      <c r="H114" s="1">
        <v>6.03</v>
      </c>
      <c r="I114" s="1">
        <v>6.38</v>
      </c>
      <c r="J114" s="1">
        <v>1.0</v>
      </c>
      <c r="K114" s="1">
        <v>9.2</v>
      </c>
      <c r="L114" s="1">
        <v>35.9</v>
      </c>
      <c r="M114" s="1">
        <v>78.0</v>
      </c>
      <c r="N114" s="1">
        <v>11.5</v>
      </c>
      <c r="O114" s="1">
        <v>2.5</v>
      </c>
      <c r="P114" s="2">
        <f t="shared" si="1"/>
        <v>0</v>
      </c>
      <c r="Q114" s="1" t="str">
        <f t="shared" si="2"/>
        <v>Low Leisure Screen</v>
      </c>
      <c r="R114" s="2" t="str">
        <f t="shared" si="3"/>
        <v>High Total Screen</v>
      </c>
      <c r="S114" s="2" t="str">
        <f t="shared" si="4"/>
        <v>Lower Exercise</v>
      </c>
      <c r="T114" s="2" t="str">
        <f t="shared" si="5"/>
        <v>Higher Social</v>
      </c>
      <c r="AA114" s="1">
        <v>5.16</v>
      </c>
      <c r="AB114" s="2">
        <f t="shared" si="6"/>
        <v>1.818076778</v>
      </c>
    </row>
    <row r="115">
      <c r="A115" s="1" t="s">
        <v>164</v>
      </c>
      <c r="B115" s="1">
        <v>49.0</v>
      </c>
      <c r="C115" s="1" t="s">
        <v>16</v>
      </c>
      <c r="D115" s="1" t="s">
        <v>17</v>
      </c>
      <c r="E115" s="1" t="s">
        <v>27</v>
      </c>
      <c r="F115" s="1">
        <v>10.05</v>
      </c>
      <c r="G115" s="1">
        <v>0.5</v>
      </c>
      <c r="H115" s="1">
        <v>9.55</v>
      </c>
      <c r="I115" s="1">
        <v>8.1</v>
      </c>
      <c r="J115" s="1">
        <v>2.0</v>
      </c>
      <c r="K115" s="1">
        <v>7.1</v>
      </c>
      <c r="L115" s="1">
        <v>56.7</v>
      </c>
      <c r="M115" s="1">
        <v>101.0</v>
      </c>
      <c r="N115" s="1">
        <v>13.9</v>
      </c>
      <c r="O115" s="1">
        <v>32.0</v>
      </c>
      <c r="P115" s="2">
        <f t="shared" si="1"/>
        <v>0</v>
      </c>
      <c r="Q115" s="1" t="str">
        <f t="shared" si="2"/>
        <v>High Leisure Screen</v>
      </c>
      <c r="R115" s="2" t="str">
        <f t="shared" si="3"/>
        <v>High Total Screen</v>
      </c>
      <c r="S115" s="2" t="str">
        <f t="shared" si="4"/>
        <v>Lower Exercise</v>
      </c>
      <c r="T115" s="2" t="str">
        <f t="shared" si="5"/>
        <v>Higher Social</v>
      </c>
      <c r="AA115" s="1">
        <v>0.5</v>
      </c>
      <c r="AB115" s="2">
        <f t="shared" si="6"/>
        <v>0.4054651081</v>
      </c>
    </row>
    <row r="116">
      <c r="A116" s="1" t="s">
        <v>165</v>
      </c>
      <c r="B116" s="1">
        <v>28.0</v>
      </c>
      <c r="C116" s="1" t="s">
        <v>16</v>
      </c>
      <c r="D116" s="1" t="s">
        <v>17</v>
      </c>
      <c r="E116" s="1" t="s">
        <v>23</v>
      </c>
      <c r="F116" s="1">
        <v>11.94</v>
      </c>
      <c r="G116" s="1">
        <v>0.6</v>
      </c>
      <c r="H116" s="1">
        <v>11.34</v>
      </c>
      <c r="I116" s="1">
        <v>5.65</v>
      </c>
      <c r="J116" s="1">
        <v>1.0</v>
      </c>
      <c r="K116" s="1">
        <v>10.0</v>
      </c>
      <c r="L116" s="1">
        <v>37.3</v>
      </c>
      <c r="M116" s="1">
        <v>0.0</v>
      </c>
      <c r="N116" s="1">
        <v>5.7</v>
      </c>
      <c r="O116" s="1">
        <v>0.9</v>
      </c>
      <c r="P116" s="2">
        <f t="shared" si="1"/>
        <v>0</v>
      </c>
      <c r="Q116" s="1" t="str">
        <f t="shared" si="2"/>
        <v>High Leisure Screen</v>
      </c>
      <c r="R116" s="2" t="str">
        <f t="shared" si="3"/>
        <v>High Total Screen</v>
      </c>
      <c r="S116" s="2" t="str">
        <f t="shared" si="4"/>
        <v>Lower Exercise</v>
      </c>
      <c r="T116" s="2" t="str">
        <f t="shared" si="5"/>
        <v>Lower Social</v>
      </c>
      <c r="AA116" s="1">
        <v>0.6</v>
      </c>
      <c r="AB116" s="2">
        <f t="shared" si="6"/>
        <v>0.4700036292</v>
      </c>
    </row>
    <row r="117">
      <c r="A117" s="1" t="s">
        <v>166</v>
      </c>
      <c r="B117" s="1">
        <v>32.0</v>
      </c>
      <c r="C117" s="1" t="s">
        <v>16</v>
      </c>
      <c r="D117" s="1" t="s">
        <v>17</v>
      </c>
      <c r="E117" s="1" t="s">
        <v>18</v>
      </c>
      <c r="F117" s="1">
        <v>7.8</v>
      </c>
      <c r="G117" s="1">
        <v>4.17</v>
      </c>
      <c r="H117" s="1">
        <v>3.63</v>
      </c>
      <c r="I117" s="1">
        <v>6.67</v>
      </c>
      <c r="J117" s="1">
        <v>1.0</v>
      </c>
      <c r="K117" s="1">
        <v>6.9</v>
      </c>
      <c r="L117" s="1">
        <v>52.6</v>
      </c>
      <c r="M117" s="1">
        <v>99.0</v>
      </c>
      <c r="N117" s="1">
        <v>11.6</v>
      </c>
      <c r="O117" s="1">
        <v>14.3</v>
      </c>
      <c r="P117" s="2">
        <f t="shared" si="1"/>
        <v>0</v>
      </c>
      <c r="Q117" s="1" t="str">
        <f t="shared" si="2"/>
        <v>Low Leisure Screen</v>
      </c>
      <c r="R117" s="2" t="str">
        <f t="shared" si="3"/>
        <v>Low Total Screen</v>
      </c>
      <c r="S117" s="2" t="str">
        <f t="shared" si="4"/>
        <v/>
      </c>
      <c r="T117" s="2" t="str">
        <f t="shared" si="5"/>
        <v/>
      </c>
      <c r="AA117" s="1">
        <v>4.17</v>
      </c>
      <c r="AB117" s="2">
        <f t="shared" si="6"/>
        <v>1.642872689</v>
      </c>
    </row>
    <row r="118">
      <c r="A118" s="1" t="s">
        <v>168</v>
      </c>
      <c r="B118" s="1">
        <v>29.0</v>
      </c>
      <c r="C118" s="1" t="s">
        <v>16</v>
      </c>
      <c r="D118" s="1" t="s">
        <v>17</v>
      </c>
      <c r="E118" s="1" t="s">
        <v>27</v>
      </c>
      <c r="F118" s="1">
        <v>11.23</v>
      </c>
      <c r="G118" s="1">
        <v>2.25</v>
      </c>
      <c r="H118" s="1">
        <v>8.98</v>
      </c>
      <c r="I118" s="1">
        <v>8.93</v>
      </c>
      <c r="J118" s="1">
        <v>2.0</v>
      </c>
      <c r="K118" s="1">
        <v>9.3</v>
      </c>
      <c r="L118" s="1">
        <v>55.1</v>
      </c>
      <c r="M118" s="1">
        <v>149.0</v>
      </c>
      <c r="N118" s="1">
        <v>0.0</v>
      </c>
      <c r="O118" s="1">
        <v>28.6</v>
      </c>
      <c r="P118" s="2">
        <f t="shared" si="1"/>
        <v>0</v>
      </c>
      <c r="Q118" s="1" t="str">
        <f t="shared" si="2"/>
        <v>High Leisure Screen</v>
      </c>
      <c r="R118" s="2" t="str">
        <f t="shared" si="3"/>
        <v>High Total Screen</v>
      </c>
      <c r="S118" s="2" t="str">
        <f t="shared" si="4"/>
        <v>Higher Exercise</v>
      </c>
      <c r="T118" s="2" t="str">
        <f t="shared" si="5"/>
        <v>Lower Social</v>
      </c>
      <c r="AA118" s="1">
        <v>2.25</v>
      </c>
      <c r="AB118" s="2">
        <f t="shared" si="6"/>
        <v>1.178654996</v>
      </c>
    </row>
    <row r="119">
      <c r="A119" s="1" t="s">
        <v>170</v>
      </c>
      <c r="B119" s="1">
        <v>20.0</v>
      </c>
      <c r="C119" s="1" t="s">
        <v>16</v>
      </c>
      <c r="D119" s="1" t="s">
        <v>17</v>
      </c>
      <c r="E119" s="1" t="s">
        <v>27</v>
      </c>
      <c r="F119" s="1">
        <v>8.7</v>
      </c>
      <c r="G119" s="1">
        <v>1.4</v>
      </c>
      <c r="H119" s="1">
        <v>7.3</v>
      </c>
      <c r="I119" s="1">
        <v>6.16</v>
      </c>
      <c r="J119" s="1">
        <v>1.0</v>
      </c>
      <c r="K119" s="1">
        <v>8.4</v>
      </c>
      <c r="L119" s="1">
        <v>56.2</v>
      </c>
      <c r="M119" s="1">
        <v>26.0</v>
      </c>
      <c r="N119" s="1">
        <v>5.4</v>
      </c>
      <c r="O119" s="1">
        <v>2.7</v>
      </c>
      <c r="P119" s="2">
        <f t="shared" si="1"/>
        <v>0</v>
      </c>
      <c r="Q119" s="1" t="str">
        <f t="shared" si="2"/>
        <v>High Leisure Screen</v>
      </c>
      <c r="R119" s="2" t="str">
        <f t="shared" si="3"/>
        <v>Low Total Screen</v>
      </c>
      <c r="S119" s="2" t="str">
        <f t="shared" si="4"/>
        <v/>
      </c>
      <c r="T119" s="2" t="str">
        <f t="shared" si="5"/>
        <v/>
      </c>
      <c r="AA119" s="1">
        <v>1.4</v>
      </c>
      <c r="AB119" s="2">
        <f t="shared" si="6"/>
        <v>0.8754687374</v>
      </c>
    </row>
    <row r="120">
      <c r="A120" s="1" t="s">
        <v>171</v>
      </c>
      <c r="B120" s="1">
        <v>39.0</v>
      </c>
      <c r="C120" s="1" t="s">
        <v>16</v>
      </c>
      <c r="D120" s="1" t="s">
        <v>35</v>
      </c>
      <c r="E120" s="1" t="s">
        <v>23</v>
      </c>
      <c r="F120" s="1">
        <v>1.0</v>
      </c>
      <c r="G120" s="1">
        <v>0.11</v>
      </c>
      <c r="H120" s="1">
        <v>0.89</v>
      </c>
      <c r="I120" s="1">
        <v>7.26</v>
      </c>
      <c r="J120" s="1">
        <v>3.0</v>
      </c>
      <c r="K120" s="1">
        <v>0.0</v>
      </c>
      <c r="L120" s="1">
        <v>100.0</v>
      </c>
      <c r="M120" s="1">
        <v>104.0</v>
      </c>
      <c r="N120" s="1">
        <v>15.7</v>
      </c>
      <c r="O120" s="1">
        <v>87.2</v>
      </c>
      <c r="P120" s="2">
        <f t="shared" si="1"/>
        <v>0</v>
      </c>
      <c r="Q120" s="1" t="str">
        <f t="shared" si="2"/>
        <v>Low Leisure Screen</v>
      </c>
      <c r="R120" s="2" t="str">
        <f t="shared" si="3"/>
        <v>Low Total Screen</v>
      </c>
      <c r="S120" s="2" t="str">
        <f t="shared" si="4"/>
        <v/>
      </c>
      <c r="T120" s="2" t="str">
        <f t="shared" si="5"/>
        <v/>
      </c>
      <c r="AA120" s="1">
        <v>0.11</v>
      </c>
      <c r="AB120" s="2">
        <f t="shared" si="6"/>
        <v>0.1043600153</v>
      </c>
    </row>
    <row r="121">
      <c r="A121" s="1" t="s">
        <v>172</v>
      </c>
      <c r="B121" s="1">
        <v>36.0</v>
      </c>
      <c r="C121" s="1" t="s">
        <v>30</v>
      </c>
      <c r="D121" s="1" t="s">
        <v>17</v>
      </c>
      <c r="E121" s="1" t="s">
        <v>18</v>
      </c>
      <c r="F121" s="1">
        <v>10.12</v>
      </c>
      <c r="G121" s="1">
        <v>4.82</v>
      </c>
      <c r="H121" s="1">
        <v>5.3</v>
      </c>
      <c r="I121" s="1">
        <v>7.53</v>
      </c>
      <c r="J121" s="1">
        <v>1.0</v>
      </c>
      <c r="K121" s="1">
        <v>10.0</v>
      </c>
      <c r="L121" s="1">
        <v>47.2</v>
      </c>
      <c r="M121" s="1">
        <v>156.0</v>
      </c>
      <c r="N121" s="1">
        <v>12.6</v>
      </c>
      <c r="O121" s="1">
        <v>5.0</v>
      </c>
      <c r="P121" s="2">
        <f t="shared" si="1"/>
        <v>0</v>
      </c>
      <c r="Q121" s="1" t="str">
        <f t="shared" si="2"/>
        <v>Low Leisure Screen</v>
      </c>
      <c r="R121" s="2" t="str">
        <f t="shared" si="3"/>
        <v>High Total Screen</v>
      </c>
      <c r="S121" s="2" t="str">
        <f t="shared" si="4"/>
        <v>Higher Exercise</v>
      </c>
      <c r="T121" s="2" t="str">
        <f t="shared" si="5"/>
        <v>Higher Social</v>
      </c>
      <c r="AA121" s="1">
        <v>4.82</v>
      </c>
      <c r="AB121" s="2">
        <f t="shared" si="6"/>
        <v>1.761300262</v>
      </c>
    </row>
    <row r="122">
      <c r="A122" s="1" t="s">
        <v>173</v>
      </c>
      <c r="B122" s="1">
        <v>36.0</v>
      </c>
      <c r="C122" s="1" t="s">
        <v>30</v>
      </c>
      <c r="D122" s="1" t="s">
        <v>32</v>
      </c>
      <c r="E122" s="1" t="s">
        <v>27</v>
      </c>
      <c r="F122" s="1">
        <v>10.04</v>
      </c>
      <c r="G122" s="1">
        <v>2.11</v>
      </c>
      <c r="H122" s="1">
        <v>7.93</v>
      </c>
      <c r="I122" s="1">
        <v>5.29</v>
      </c>
      <c r="J122" s="1">
        <v>1.0</v>
      </c>
      <c r="K122" s="1">
        <v>10.0</v>
      </c>
      <c r="L122" s="1">
        <v>52.1</v>
      </c>
      <c r="M122" s="1">
        <v>0.0</v>
      </c>
      <c r="N122" s="1">
        <v>14.6</v>
      </c>
      <c r="O122" s="1">
        <v>6.1</v>
      </c>
      <c r="P122" s="2">
        <f t="shared" si="1"/>
        <v>0</v>
      </c>
      <c r="Q122" s="1" t="str">
        <f t="shared" si="2"/>
        <v>High Leisure Screen</v>
      </c>
      <c r="R122" s="2" t="str">
        <f t="shared" si="3"/>
        <v>High Total Screen</v>
      </c>
      <c r="S122" s="2" t="str">
        <f t="shared" si="4"/>
        <v>Lower Exercise</v>
      </c>
      <c r="T122" s="2" t="str">
        <f t="shared" si="5"/>
        <v>Higher Social</v>
      </c>
      <c r="AA122" s="1">
        <v>2.11</v>
      </c>
      <c r="AB122" s="2">
        <f t="shared" si="6"/>
        <v>1.134622726</v>
      </c>
    </row>
    <row r="123">
      <c r="A123" s="1" t="s">
        <v>174</v>
      </c>
      <c r="B123" s="1">
        <v>22.0</v>
      </c>
      <c r="C123" s="1" t="s">
        <v>30</v>
      </c>
      <c r="D123" s="1" t="s">
        <v>32</v>
      </c>
      <c r="E123" s="1" t="s">
        <v>23</v>
      </c>
      <c r="F123" s="1">
        <v>6.42</v>
      </c>
      <c r="G123" s="1">
        <v>0.32</v>
      </c>
      <c r="H123" s="1">
        <v>6.1</v>
      </c>
      <c r="I123" s="1">
        <v>7.17</v>
      </c>
      <c r="J123" s="1">
        <v>1.0</v>
      </c>
      <c r="K123" s="1">
        <v>6.7</v>
      </c>
      <c r="L123" s="1">
        <v>73.0</v>
      </c>
      <c r="M123" s="1">
        <v>190.0</v>
      </c>
      <c r="N123" s="1">
        <v>15.4</v>
      </c>
      <c r="O123" s="1">
        <v>42.7</v>
      </c>
      <c r="P123" s="2">
        <f t="shared" si="1"/>
        <v>0</v>
      </c>
      <c r="Q123" s="1" t="str">
        <f t="shared" si="2"/>
        <v>Low Leisure Screen</v>
      </c>
      <c r="R123" s="2" t="str">
        <f t="shared" si="3"/>
        <v>Low Total Screen</v>
      </c>
      <c r="S123" s="2" t="str">
        <f t="shared" si="4"/>
        <v/>
      </c>
      <c r="T123" s="2" t="str">
        <f t="shared" si="5"/>
        <v/>
      </c>
      <c r="AA123" s="1">
        <v>0.32</v>
      </c>
      <c r="AB123" s="2">
        <f t="shared" si="6"/>
        <v>0.2776317366</v>
      </c>
    </row>
    <row r="124">
      <c r="A124" s="1" t="s">
        <v>176</v>
      </c>
      <c r="B124" s="1">
        <v>41.0</v>
      </c>
      <c r="C124" s="1" t="s">
        <v>30</v>
      </c>
      <c r="D124" s="1" t="s">
        <v>35</v>
      </c>
      <c r="E124" s="1" t="s">
        <v>23</v>
      </c>
      <c r="F124" s="1">
        <v>9.58</v>
      </c>
      <c r="G124" s="1">
        <v>2.08</v>
      </c>
      <c r="H124" s="1">
        <v>7.5</v>
      </c>
      <c r="I124" s="1">
        <v>8.79</v>
      </c>
      <c r="J124" s="1">
        <v>2.0</v>
      </c>
      <c r="K124" s="1">
        <v>6.6</v>
      </c>
      <c r="L124" s="1">
        <v>80.4</v>
      </c>
      <c r="M124" s="1">
        <v>69.0</v>
      </c>
      <c r="N124" s="1">
        <v>3.8</v>
      </c>
      <c r="O124" s="1">
        <v>30.5</v>
      </c>
      <c r="P124" s="2">
        <f t="shared" si="1"/>
        <v>0</v>
      </c>
      <c r="Q124" s="1" t="str">
        <f t="shared" si="2"/>
        <v>High Leisure Screen</v>
      </c>
      <c r="R124" s="2" t="str">
        <f t="shared" si="3"/>
        <v>High Total Screen</v>
      </c>
      <c r="S124" s="2" t="str">
        <f t="shared" si="4"/>
        <v>Lower Exercise</v>
      </c>
      <c r="T124" s="2" t="str">
        <f t="shared" si="5"/>
        <v>Lower Social</v>
      </c>
      <c r="AA124" s="1">
        <v>2.08</v>
      </c>
      <c r="AB124" s="2">
        <f t="shared" si="6"/>
        <v>1.124929597</v>
      </c>
    </row>
    <row r="125">
      <c r="A125" s="1" t="s">
        <v>177</v>
      </c>
      <c r="B125" s="1">
        <v>18.0</v>
      </c>
      <c r="C125" s="1" t="s">
        <v>16</v>
      </c>
      <c r="D125" s="1" t="s">
        <v>32</v>
      </c>
      <c r="E125" s="1" t="s">
        <v>27</v>
      </c>
      <c r="F125" s="1">
        <v>7.77</v>
      </c>
      <c r="G125" s="1">
        <v>1.17</v>
      </c>
      <c r="H125" s="1">
        <v>6.6</v>
      </c>
      <c r="I125" s="1">
        <v>5.88</v>
      </c>
      <c r="J125" s="1">
        <v>1.0</v>
      </c>
      <c r="K125" s="1">
        <v>10.0</v>
      </c>
      <c r="L125" s="1">
        <v>40.9</v>
      </c>
      <c r="M125" s="1">
        <v>78.0</v>
      </c>
      <c r="N125" s="1">
        <v>17.0</v>
      </c>
      <c r="O125" s="1">
        <v>0.0</v>
      </c>
      <c r="P125" s="2">
        <f t="shared" si="1"/>
        <v>0</v>
      </c>
      <c r="Q125" s="1" t="str">
        <f t="shared" si="2"/>
        <v>Low Leisure Screen</v>
      </c>
      <c r="R125" s="2" t="str">
        <f t="shared" si="3"/>
        <v>Low Total Screen</v>
      </c>
      <c r="S125" s="2" t="str">
        <f t="shared" si="4"/>
        <v/>
      </c>
      <c r="T125" s="2" t="str">
        <f t="shared" si="5"/>
        <v/>
      </c>
      <c r="AA125" s="1">
        <v>1.17</v>
      </c>
      <c r="AB125" s="2">
        <f t="shared" si="6"/>
        <v>0.7747271676</v>
      </c>
    </row>
    <row r="126">
      <c r="A126" s="1" t="s">
        <v>178</v>
      </c>
      <c r="B126" s="1">
        <v>34.0</v>
      </c>
      <c r="C126" s="1" t="s">
        <v>16</v>
      </c>
      <c r="D126" s="1" t="s">
        <v>35</v>
      </c>
      <c r="E126" s="1" t="s">
        <v>27</v>
      </c>
      <c r="F126" s="1">
        <v>7.85</v>
      </c>
      <c r="G126" s="1">
        <v>1.44</v>
      </c>
      <c r="H126" s="1">
        <v>6.41</v>
      </c>
      <c r="I126" s="1">
        <v>5.68</v>
      </c>
      <c r="J126" s="1">
        <v>1.0</v>
      </c>
      <c r="K126" s="1">
        <v>8.1</v>
      </c>
      <c r="L126" s="1">
        <v>70.8</v>
      </c>
      <c r="M126" s="1">
        <v>34.0</v>
      </c>
      <c r="N126" s="1">
        <v>10.5</v>
      </c>
      <c r="O126" s="1">
        <v>8.7</v>
      </c>
      <c r="P126" s="2">
        <f t="shared" si="1"/>
        <v>0</v>
      </c>
      <c r="Q126" s="1" t="str">
        <f t="shared" si="2"/>
        <v>Low Leisure Screen</v>
      </c>
      <c r="R126" s="2" t="str">
        <f t="shared" si="3"/>
        <v>Low Total Screen</v>
      </c>
      <c r="S126" s="2" t="str">
        <f t="shared" si="4"/>
        <v/>
      </c>
      <c r="T126" s="2" t="str">
        <f t="shared" si="5"/>
        <v/>
      </c>
      <c r="AA126" s="1">
        <v>1.44</v>
      </c>
      <c r="AB126" s="2">
        <f t="shared" si="6"/>
        <v>0.8919980393</v>
      </c>
    </row>
    <row r="127">
      <c r="A127" s="1" t="s">
        <v>179</v>
      </c>
      <c r="B127" s="1">
        <v>47.0</v>
      </c>
      <c r="C127" s="1" t="s">
        <v>30</v>
      </c>
      <c r="D127" s="1" t="s">
        <v>17</v>
      </c>
      <c r="E127" s="1" t="s">
        <v>27</v>
      </c>
      <c r="F127" s="1">
        <v>6.0</v>
      </c>
      <c r="G127" s="1">
        <v>0.3</v>
      </c>
      <c r="H127" s="1">
        <v>5.7</v>
      </c>
      <c r="I127" s="1">
        <v>6.47</v>
      </c>
      <c r="J127" s="1">
        <v>1.0</v>
      </c>
      <c r="K127" s="1">
        <v>9.4</v>
      </c>
      <c r="L127" s="1">
        <v>49.3</v>
      </c>
      <c r="M127" s="1">
        <v>157.0</v>
      </c>
      <c r="N127" s="1">
        <v>16.4</v>
      </c>
      <c r="O127" s="1">
        <v>9.6</v>
      </c>
      <c r="P127" s="2">
        <f t="shared" si="1"/>
        <v>0</v>
      </c>
      <c r="Q127" s="1" t="str">
        <f t="shared" si="2"/>
        <v>Low Leisure Screen</v>
      </c>
      <c r="R127" s="2" t="str">
        <f t="shared" si="3"/>
        <v>Low Total Screen</v>
      </c>
      <c r="S127" s="2" t="str">
        <f t="shared" si="4"/>
        <v/>
      </c>
      <c r="T127" s="2" t="str">
        <f t="shared" si="5"/>
        <v/>
      </c>
      <c r="AA127" s="1">
        <v>0.3</v>
      </c>
      <c r="AB127" s="2">
        <f t="shared" si="6"/>
        <v>0.2623642645</v>
      </c>
    </row>
    <row r="128">
      <c r="A128" s="1" t="s">
        <v>180</v>
      </c>
      <c r="B128" s="1">
        <v>22.0</v>
      </c>
      <c r="C128" s="1" t="s">
        <v>30</v>
      </c>
      <c r="D128" s="1" t="s">
        <v>43</v>
      </c>
      <c r="E128" s="1" t="s">
        <v>23</v>
      </c>
      <c r="F128" s="1">
        <v>9.23</v>
      </c>
      <c r="G128" s="1">
        <v>0.73</v>
      </c>
      <c r="H128" s="1">
        <v>8.5</v>
      </c>
      <c r="I128" s="1">
        <v>7.65</v>
      </c>
      <c r="J128" s="1">
        <v>2.0</v>
      </c>
      <c r="K128" s="1">
        <v>4.8</v>
      </c>
      <c r="L128" s="1">
        <v>67.4</v>
      </c>
      <c r="M128" s="1">
        <v>271.0</v>
      </c>
      <c r="N128" s="1">
        <v>7.9</v>
      </c>
      <c r="O128" s="1">
        <v>52.1</v>
      </c>
      <c r="P128" s="2">
        <f t="shared" si="1"/>
        <v>0</v>
      </c>
      <c r="Q128" s="1" t="str">
        <f t="shared" si="2"/>
        <v>High Leisure Screen</v>
      </c>
      <c r="R128" s="2" t="str">
        <f t="shared" si="3"/>
        <v>High Total Screen</v>
      </c>
      <c r="S128" s="2" t="str">
        <f t="shared" si="4"/>
        <v>Higher Exercise</v>
      </c>
      <c r="T128" s="2" t="str">
        <f t="shared" si="5"/>
        <v>Higher Social</v>
      </c>
      <c r="AA128" s="1">
        <v>0.73</v>
      </c>
      <c r="AB128" s="2">
        <f t="shared" si="6"/>
        <v>0.5481214085</v>
      </c>
    </row>
    <row r="129">
      <c r="A129" s="1" t="s">
        <v>181</v>
      </c>
      <c r="B129" s="1">
        <v>25.0</v>
      </c>
      <c r="C129" s="1" t="s">
        <v>30</v>
      </c>
      <c r="D129" s="1" t="s">
        <v>17</v>
      </c>
      <c r="E129" s="1" t="s">
        <v>27</v>
      </c>
      <c r="F129" s="1">
        <v>11.27</v>
      </c>
      <c r="G129" s="1">
        <v>1.99</v>
      </c>
      <c r="H129" s="1">
        <v>9.28</v>
      </c>
      <c r="I129" s="1">
        <v>7.56</v>
      </c>
      <c r="J129" s="1">
        <v>3.0</v>
      </c>
      <c r="K129" s="1">
        <v>8.9</v>
      </c>
      <c r="L129" s="1">
        <v>59.5</v>
      </c>
      <c r="M129" s="1">
        <v>143.0</v>
      </c>
      <c r="N129" s="1">
        <v>6.6</v>
      </c>
      <c r="O129" s="1">
        <v>41.2</v>
      </c>
      <c r="P129" s="2">
        <f t="shared" si="1"/>
        <v>0</v>
      </c>
      <c r="Q129" s="1" t="str">
        <f t="shared" si="2"/>
        <v>High Leisure Screen</v>
      </c>
      <c r="R129" s="2" t="str">
        <f t="shared" si="3"/>
        <v>High Total Screen</v>
      </c>
      <c r="S129" s="2" t="str">
        <f t="shared" si="4"/>
        <v>Higher Exercise</v>
      </c>
      <c r="T129" s="2" t="str">
        <f t="shared" si="5"/>
        <v>Lower Social</v>
      </c>
      <c r="AA129" s="1">
        <v>1.99</v>
      </c>
      <c r="AB129" s="2">
        <f t="shared" si="6"/>
        <v>1.095273387</v>
      </c>
    </row>
    <row r="130">
      <c r="A130" s="1" t="s">
        <v>184</v>
      </c>
      <c r="B130" s="1">
        <v>30.0</v>
      </c>
      <c r="C130" s="1" t="s">
        <v>16</v>
      </c>
      <c r="D130" s="1" t="s">
        <v>37</v>
      </c>
      <c r="E130" s="1" t="s">
        <v>18</v>
      </c>
      <c r="F130" s="1">
        <v>9.05</v>
      </c>
      <c r="G130" s="1">
        <v>5.35</v>
      </c>
      <c r="H130" s="1">
        <v>3.7</v>
      </c>
      <c r="I130" s="1">
        <v>6.63</v>
      </c>
      <c r="J130" s="1">
        <v>1.0</v>
      </c>
      <c r="K130" s="1">
        <v>10.0</v>
      </c>
      <c r="L130" s="1">
        <v>40.9</v>
      </c>
      <c r="M130" s="1">
        <v>43.0</v>
      </c>
      <c r="N130" s="1">
        <v>7.6</v>
      </c>
      <c r="O130" s="1">
        <v>0.9</v>
      </c>
      <c r="P130" s="2">
        <f t="shared" si="1"/>
        <v>0</v>
      </c>
      <c r="Q130" s="1" t="str">
        <f t="shared" si="2"/>
        <v>Low Leisure Screen</v>
      </c>
      <c r="R130" s="2" t="str">
        <f t="shared" si="3"/>
        <v>Low Total Screen</v>
      </c>
      <c r="S130" s="2" t="str">
        <f t="shared" si="4"/>
        <v/>
      </c>
      <c r="T130" s="2" t="str">
        <f t="shared" si="5"/>
        <v/>
      </c>
      <c r="AA130" s="1">
        <v>5.35</v>
      </c>
      <c r="AB130" s="2">
        <f t="shared" si="6"/>
        <v>1.848454813</v>
      </c>
    </row>
    <row r="131">
      <c r="A131" s="1" t="s">
        <v>186</v>
      </c>
      <c r="B131" s="1">
        <v>25.0</v>
      </c>
      <c r="C131" s="1" t="s">
        <v>16</v>
      </c>
      <c r="D131" s="1" t="s">
        <v>17</v>
      </c>
      <c r="E131" s="1" t="s">
        <v>23</v>
      </c>
      <c r="F131" s="1">
        <v>8.07</v>
      </c>
      <c r="G131" s="1">
        <v>0.75</v>
      </c>
      <c r="H131" s="1">
        <v>7.32</v>
      </c>
      <c r="I131" s="1">
        <v>7.69</v>
      </c>
      <c r="J131" s="1">
        <v>1.0</v>
      </c>
      <c r="K131" s="1">
        <v>7.9</v>
      </c>
      <c r="L131" s="1">
        <v>56.7</v>
      </c>
      <c r="M131" s="1">
        <v>187.0</v>
      </c>
      <c r="N131" s="1">
        <v>0.0</v>
      </c>
      <c r="O131" s="1">
        <v>26.9</v>
      </c>
      <c r="P131" s="2">
        <f t="shared" si="1"/>
        <v>0</v>
      </c>
      <c r="Q131" s="1" t="str">
        <f t="shared" si="2"/>
        <v>High Leisure Screen</v>
      </c>
      <c r="R131" s="2" t="str">
        <f t="shared" si="3"/>
        <v>Low Total Screen</v>
      </c>
      <c r="S131" s="2" t="str">
        <f t="shared" si="4"/>
        <v/>
      </c>
      <c r="T131" s="2" t="str">
        <f t="shared" si="5"/>
        <v/>
      </c>
      <c r="AA131" s="1">
        <v>0.75</v>
      </c>
      <c r="AB131" s="2">
        <f t="shared" si="6"/>
        <v>0.5596157879</v>
      </c>
    </row>
    <row r="132">
      <c r="A132" s="1" t="s">
        <v>187</v>
      </c>
      <c r="B132" s="1">
        <v>17.0</v>
      </c>
      <c r="C132" s="1" t="s">
        <v>16</v>
      </c>
      <c r="D132" s="1" t="s">
        <v>17</v>
      </c>
      <c r="E132" s="1" t="s">
        <v>27</v>
      </c>
      <c r="F132" s="1">
        <v>5.52</v>
      </c>
      <c r="G132" s="1">
        <v>1.16</v>
      </c>
      <c r="H132" s="1">
        <v>4.36</v>
      </c>
      <c r="I132" s="1">
        <v>8.55</v>
      </c>
      <c r="J132" s="1">
        <v>3.0</v>
      </c>
      <c r="K132" s="1">
        <v>3.7</v>
      </c>
      <c r="L132" s="1">
        <v>79.0</v>
      </c>
      <c r="M132" s="1">
        <v>96.0</v>
      </c>
      <c r="N132" s="1">
        <v>3.2</v>
      </c>
      <c r="O132" s="1">
        <v>67.8</v>
      </c>
      <c r="P132" s="2">
        <f t="shared" si="1"/>
        <v>0</v>
      </c>
      <c r="Q132" s="1" t="str">
        <f t="shared" si="2"/>
        <v>Low Leisure Screen</v>
      </c>
      <c r="R132" s="2" t="str">
        <f t="shared" si="3"/>
        <v>Low Total Screen</v>
      </c>
      <c r="S132" s="2" t="str">
        <f t="shared" si="4"/>
        <v/>
      </c>
      <c r="T132" s="2" t="str">
        <f t="shared" si="5"/>
        <v/>
      </c>
      <c r="AA132" s="1">
        <v>1.16</v>
      </c>
      <c r="AB132" s="2">
        <f t="shared" si="6"/>
        <v>0.7701082217</v>
      </c>
    </row>
    <row r="133">
      <c r="A133" s="1" t="s">
        <v>189</v>
      </c>
      <c r="B133" s="1">
        <v>30.0</v>
      </c>
      <c r="C133" s="1" t="s">
        <v>16</v>
      </c>
      <c r="D133" s="1" t="s">
        <v>17</v>
      </c>
      <c r="E133" s="1" t="s">
        <v>27</v>
      </c>
      <c r="F133" s="1">
        <v>10.27</v>
      </c>
      <c r="G133" s="1">
        <v>0.96</v>
      </c>
      <c r="H133" s="1">
        <v>9.31</v>
      </c>
      <c r="I133" s="1">
        <v>8.29</v>
      </c>
      <c r="J133" s="1">
        <v>3.0</v>
      </c>
      <c r="K133" s="1">
        <v>8.3</v>
      </c>
      <c r="L133" s="1">
        <v>60.0</v>
      </c>
      <c r="M133" s="1">
        <v>193.0</v>
      </c>
      <c r="N133" s="1">
        <v>10.8</v>
      </c>
      <c r="O133" s="1">
        <v>33.5</v>
      </c>
      <c r="P133" s="2">
        <f t="shared" si="1"/>
        <v>0</v>
      </c>
      <c r="Q133" s="1" t="str">
        <f t="shared" si="2"/>
        <v>High Leisure Screen</v>
      </c>
      <c r="R133" s="2" t="str">
        <f t="shared" si="3"/>
        <v>High Total Screen</v>
      </c>
      <c r="S133" s="2" t="str">
        <f t="shared" si="4"/>
        <v>Higher Exercise</v>
      </c>
      <c r="T133" s="2" t="str">
        <f t="shared" si="5"/>
        <v>Higher Social</v>
      </c>
      <c r="AA133" s="1">
        <v>0.96</v>
      </c>
      <c r="AB133" s="2">
        <f t="shared" si="6"/>
        <v>0.6729444732</v>
      </c>
    </row>
    <row r="134">
      <c r="A134" s="1" t="s">
        <v>190</v>
      </c>
      <c r="B134" s="1">
        <v>21.0</v>
      </c>
      <c r="C134" s="1" t="s">
        <v>30</v>
      </c>
      <c r="D134" s="1" t="s">
        <v>17</v>
      </c>
      <c r="E134" s="1" t="s">
        <v>18</v>
      </c>
      <c r="F134" s="1">
        <v>9.59</v>
      </c>
      <c r="G134" s="1">
        <v>4.62</v>
      </c>
      <c r="H134" s="1">
        <v>4.97</v>
      </c>
      <c r="I134" s="1">
        <v>6.67</v>
      </c>
      <c r="J134" s="1">
        <v>1.0</v>
      </c>
      <c r="K134" s="1">
        <v>8.8</v>
      </c>
      <c r="L134" s="1">
        <v>56.1</v>
      </c>
      <c r="M134" s="1">
        <v>152.0</v>
      </c>
      <c r="N134" s="1">
        <v>0.0</v>
      </c>
      <c r="O134" s="1">
        <v>6.5</v>
      </c>
      <c r="P134" s="2">
        <f t="shared" si="1"/>
        <v>0</v>
      </c>
      <c r="Q134" s="1" t="str">
        <f t="shared" si="2"/>
        <v>Low Leisure Screen</v>
      </c>
      <c r="R134" s="2" t="str">
        <f t="shared" si="3"/>
        <v>High Total Screen</v>
      </c>
      <c r="S134" s="2" t="str">
        <f t="shared" si="4"/>
        <v>Higher Exercise</v>
      </c>
      <c r="T134" s="2" t="str">
        <f t="shared" si="5"/>
        <v>Lower Social</v>
      </c>
      <c r="AA134" s="1">
        <v>4.62</v>
      </c>
      <c r="AB134" s="2">
        <f t="shared" si="6"/>
        <v>1.726331664</v>
      </c>
    </row>
    <row r="135">
      <c r="A135" s="1" t="s">
        <v>191</v>
      </c>
      <c r="B135" s="1">
        <v>33.0</v>
      </c>
      <c r="C135" s="1" t="s">
        <v>30</v>
      </c>
      <c r="D135" s="1" t="s">
        <v>17</v>
      </c>
      <c r="E135" s="1" t="s">
        <v>27</v>
      </c>
      <c r="F135" s="1">
        <v>12.19</v>
      </c>
      <c r="G135" s="1">
        <v>2.56</v>
      </c>
      <c r="H135" s="1">
        <v>9.63</v>
      </c>
      <c r="I135" s="1">
        <v>4.76</v>
      </c>
      <c r="J135" s="1">
        <v>1.0</v>
      </c>
      <c r="K135" s="1">
        <v>10.0</v>
      </c>
      <c r="L135" s="1">
        <v>39.4</v>
      </c>
      <c r="M135" s="1">
        <v>0.0</v>
      </c>
      <c r="N135" s="1">
        <v>11.1</v>
      </c>
      <c r="O135" s="1">
        <v>0.2</v>
      </c>
      <c r="P135" s="2">
        <f t="shared" si="1"/>
        <v>0</v>
      </c>
      <c r="Q135" s="1" t="str">
        <f t="shared" si="2"/>
        <v>High Leisure Screen</v>
      </c>
      <c r="R135" s="2" t="str">
        <f t="shared" si="3"/>
        <v>High Total Screen</v>
      </c>
      <c r="S135" s="2" t="str">
        <f t="shared" si="4"/>
        <v>Lower Exercise</v>
      </c>
      <c r="T135" s="2" t="str">
        <f t="shared" si="5"/>
        <v>Higher Social</v>
      </c>
      <c r="AA135" s="1">
        <v>2.56</v>
      </c>
      <c r="AB135" s="2">
        <f t="shared" si="6"/>
        <v>1.269760545</v>
      </c>
    </row>
    <row r="136">
      <c r="A136" s="1" t="s">
        <v>192</v>
      </c>
      <c r="B136" s="1">
        <v>22.0</v>
      </c>
      <c r="C136" s="1" t="s">
        <v>16</v>
      </c>
      <c r="D136" s="1" t="s">
        <v>35</v>
      </c>
      <c r="E136" s="1" t="s">
        <v>18</v>
      </c>
      <c r="F136" s="1">
        <v>6.09</v>
      </c>
      <c r="G136" s="1">
        <v>3.86</v>
      </c>
      <c r="H136" s="1">
        <v>2.23</v>
      </c>
      <c r="I136" s="1">
        <v>6.75</v>
      </c>
      <c r="J136" s="1">
        <v>1.0</v>
      </c>
      <c r="K136" s="1">
        <v>6.4</v>
      </c>
      <c r="L136" s="1">
        <v>64.1</v>
      </c>
      <c r="M136" s="1">
        <v>47.0</v>
      </c>
      <c r="N136" s="1">
        <v>15.9</v>
      </c>
      <c r="O136" s="1">
        <v>18.6</v>
      </c>
      <c r="P136" s="2">
        <f t="shared" si="1"/>
        <v>0</v>
      </c>
      <c r="Q136" s="1" t="str">
        <f t="shared" si="2"/>
        <v>Low Leisure Screen</v>
      </c>
      <c r="R136" s="2" t="str">
        <f t="shared" si="3"/>
        <v>Low Total Screen</v>
      </c>
      <c r="S136" s="2" t="str">
        <f t="shared" si="4"/>
        <v/>
      </c>
      <c r="T136" s="2" t="str">
        <f t="shared" si="5"/>
        <v/>
      </c>
      <c r="AA136" s="1">
        <v>3.86</v>
      </c>
      <c r="AB136" s="2">
        <f t="shared" si="6"/>
        <v>1.581038438</v>
      </c>
    </row>
    <row r="137">
      <c r="A137" s="1" t="s">
        <v>193</v>
      </c>
      <c r="B137" s="1">
        <v>42.0</v>
      </c>
      <c r="C137" s="1" t="s">
        <v>34</v>
      </c>
      <c r="D137" s="1" t="s">
        <v>37</v>
      </c>
      <c r="E137" s="1" t="s">
        <v>27</v>
      </c>
      <c r="F137" s="1">
        <v>5.87</v>
      </c>
      <c r="G137" s="1">
        <v>0.31</v>
      </c>
      <c r="H137" s="1">
        <v>5.56</v>
      </c>
      <c r="I137" s="1">
        <v>7.3</v>
      </c>
      <c r="J137" s="1">
        <v>1.0</v>
      </c>
      <c r="K137" s="1">
        <v>5.8</v>
      </c>
      <c r="L137" s="1">
        <v>68.8</v>
      </c>
      <c r="M137" s="1">
        <v>195.0</v>
      </c>
      <c r="N137" s="1">
        <v>9.7</v>
      </c>
      <c r="O137" s="1">
        <v>43.9</v>
      </c>
      <c r="P137" s="2">
        <f t="shared" si="1"/>
        <v>0</v>
      </c>
      <c r="Q137" s="1" t="str">
        <f t="shared" si="2"/>
        <v>Low Leisure Screen</v>
      </c>
      <c r="R137" s="2" t="str">
        <f t="shared" si="3"/>
        <v>Low Total Screen</v>
      </c>
      <c r="S137" s="2" t="str">
        <f t="shared" si="4"/>
        <v/>
      </c>
      <c r="T137" s="2" t="str">
        <f t="shared" si="5"/>
        <v/>
      </c>
      <c r="AA137" s="1">
        <v>0.31</v>
      </c>
      <c r="AB137" s="2">
        <f t="shared" si="6"/>
        <v>0.2700271372</v>
      </c>
    </row>
    <row r="138">
      <c r="A138" s="1" t="s">
        <v>194</v>
      </c>
      <c r="B138" s="1">
        <v>23.0</v>
      </c>
      <c r="C138" s="1" t="s">
        <v>30</v>
      </c>
      <c r="D138" s="1" t="s">
        <v>17</v>
      </c>
      <c r="E138" s="1" t="s">
        <v>18</v>
      </c>
      <c r="F138" s="1">
        <v>9.65</v>
      </c>
      <c r="G138" s="1">
        <v>3.25</v>
      </c>
      <c r="H138" s="1">
        <v>6.4</v>
      </c>
      <c r="I138" s="1">
        <v>6.68</v>
      </c>
      <c r="J138" s="1">
        <v>1.0</v>
      </c>
      <c r="K138" s="1">
        <v>10.0</v>
      </c>
      <c r="L138" s="1">
        <v>50.5</v>
      </c>
      <c r="M138" s="1">
        <v>107.0</v>
      </c>
      <c r="N138" s="1">
        <v>5.8</v>
      </c>
      <c r="O138" s="1">
        <v>4.7</v>
      </c>
      <c r="P138" s="2">
        <f t="shared" si="1"/>
        <v>0</v>
      </c>
      <c r="Q138" s="1" t="str">
        <f t="shared" si="2"/>
        <v>Low Leisure Screen</v>
      </c>
      <c r="R138" s="2" t="str">
        <f t="shared" si="3"/>
        <v>High Total Screen</v>
      </c>
      <c r="S138" s="2" t="str">
        <f t="shared" si="4"/>
        <v>Higher Exercise</v>
      </c>
      <c r="T138" s="2" t="str">
        <f t="shared" si="5"/>
        <v>Lower Social</v>
      </c>
      <c r="AA138" s="1">
        <v>3.25</v>
      </c>
      <c r="AB138" s="2">
        <f t="shared" si="6"/>
        <v>1.446918983</v>
      </c>
    </row>
    <row r="139">
      <c r="A139" s="1" t="s">
        <v>196</v>
      </c>
      <c r="B139" s="1">
        <v>27.0</v>
      </c>
      <c r="C139" s="1" t="s">
        <v>16</v>
      </c>
      <c r="D139" s="1" t="s">
        <v>17</v>
      </c>
      <c r="E139" s="1" t="s">
        <v>27</v>
      </c>
      <c r="F139" s="1">
        <v>9.13</v>
      </c>
      <c r="G139" s="1">
        <v>1.44</v>
      </c>
      <c r="H139" s="1">
        <v>7.69</v>
      </c>
      <c r="I139" s="1">
        <v>6.85</v>
      </c>
      <c r="J139" s="1">
        <v>1.0</v>
      </c>
      <c r="K139" s="1">
        <v>10.0</v>
      </c>
      <c r="L139" s="1">
        <v>34.4</v>
      </c>
      <c r="M139" s="1">
        <v>30.0</v>
      </c>
      <c r="N139" s="1">
        <v>18.4</v>
      </c>
      <c r="O139" s="1">
        <v>4.4</v>
      </c>
      <c r="P139" s="2">
        <f t="shared" si="1"/>
        <v>0</v>
      </c>
      <c r="Q139" s="1" t="str">
        <f t="shared" si="2"/>
        <v>High Leisure Screen</v>
      </c>
      <c r="R139" s="2" t="str">
        <f t="shared" si="3"/>
        <v>High Total Screen</v>
      </c>
      <c r="S139" s="2" t="str">
        <f t="shared" si="4"/>
        <v>Lower Exercise</v>
      </c>
      <c r="T139" s="2" t="str">
        <f t="shared" si="5"/>
        <v>Higher Social</v>
      </c>
      <c r="AA139" s="1">
        <v>1.44</v>
      </c>
      <c r="AB139" s="2">
        <f t="shared" si="6"/>
        <v>0.8919980393</v>
      </c>
    </row>
    <row r="140">
      <c r="A140" s="1" t="s">
        <v>197</v>
      </c>
      <c r="B140" s="1">
        <v>36.0</v>
      </c>
      <c r="C140" s="1" t="s">
        <v>16</v>
      </c>
      <c r="D140" s="1" t="s">
        <v>17</v>
      </c>
      <c r="E140" s="1" t="s">
        <v>23</v>
      </c>
      <c r="F140" s="1">
        <v>5.07</v>
      </c>
      <c r="G140" s="1">
        <v>1.21</v>
      </c>
      <c r="H140" s="1">
        <v>3.86</v>
      </c>
      <c r="I140" s="1">
        <v>8.59</v>
      </c>
      <c r="J140" s="1">
        <v>2.0</v>
      </c>
      <c r="K140" s="1">
        <v>5.2</v>
      </c>
      <c r="L140" s="1">
        <v>79.1</v>
      </c>
      <c r="M140" s="1">
        <v>86.0</v>
      </c>
      <c r="N140" s="1">
        <v>19.1</v>
      </c>
      <c r="O140" s="1">
        <v>45.7</v>
      </c>
      <c r="P140" s="2">
        <f t="shared" si="1"/>
        <v>0</v>
      </c>
      <c r="Q140" s="1" t="str">
        <f t="shared" si="2"/>
        <v>Low Leisure Screen</v>
      </c>
      <c r="R140" s="2" t="str">
        <f t="shared" si="3"/>
        <v>Low Total Screen</v>
      </c>
      <c r="S140" s="2" t="str">
        <f t="shared" si="4"/>
        <v/>
      </c>
      <c r="T140" s="2" t="str">
        <f t="shared" si="5"/>
        <v/>
      </c>
      <c r="AA140" s="1">
        <v>1.21</v>
      </c>
      <c r="AB140" s="2">
        <f t="shared" si="6"/>
        <v>0.7929925155</v>
      </c>
    </row>
    <row r="141">
      <c r="A141" s="1" t="s">
        <v>198</v>
      </c>
      <c r="B141" s="1">
        <v>20.0</v>
      </c>
      <c r="C141" s="1" t="s">
        <v>16</v>
      </c>
      <c r="D141" s="1" t="s">
        <v>17</v>
      </c>
      <c r="E141" s="1" t="s">
        <v>18</v>
      </c>
      <c r="F141" s="1">
        <v>8.14</v>
      </c>
      <c r="G141" s="1">
        <v>1.22</v>
      </c>
      <c r="H141" s="1">
        <v>6.92</v>
      </c>
      <c r="I141" s="1">
        <v>8.1</v>
      </c>
      <c r="J141" s="1">
        <v>2.0</v>
      </c>
      <c r="K141" s="1">
        <v>8.5</v>
      </c>
      <c r="L141" s="1">
        <v>56.2</v>
      </c>
      <c r="M141" s="1">
        <v>0.0</v>
      </c>
      <c r="N141" s="1">
        <v>7.5</v>
      </c>
      <c r="O141" s="1">
        <v>22.3</v>
      </c>
      <c r="P141" s="2">
        <f t="shared" si="1"/>
        <v>0</v>
      </c>
      <c r="Q141" s="1" t="str">
        <f t="shared" si="2"/>
        <v>High Leisure Screen</v>
      </c>
      <c r="R141" s="2" t="str">
        <f t="shared" si="3"/>
        <v>Low Total Screen</v>
      </c>
      <c r="S141" s="2" t="str">
        <f t="shared" si="4"/>
        <v/>
      </c>
      <c r="T141" s="2" t="str">
        <f t="shared" si="5"/>
        <v/>
      </c>
      <c r="AA141" s="1">
        <v>1.22</v>
      </c>
      <c r="AB141" s="2">
        <f t="shared" si="6"/>
        <v>0.7975071959</v>
      </c>
    </row>
    <row r="142">
      <c r="A142" s="1" t="s">
        <v>199</v>
      </c>
      <c r="B142" s="1">
        <v>31.0</v>
      </c>
      <c r="C142" s="1" t="s">
        <v>16</v>
      </c>
      <c r="D142" s="1" t="s">
        <v>32</v>
      </c>
      <c r="E142" s="1" t="s">
        <v>23</v>
      </c>
      <c r="F142" s="1">
        <v>11.85</v>
      </c>
      <c r="G142" s="1">
        <v>1.91</v>
      </c>
      <c r="H142" s="1">
        <v>9.94</v>
      </c>
      <c r="I142" s="1">
        <v>6.5</v>
      </c>
      <c r="J142" s="1">
        <v>1.0</v>
      </c>
      <c r="K142" s="1">
        <v>10.0</v>
      </c>
      <c r="L142" s="1">
        <v>41.2</v>
      </c>
      <c r="M142" s="1">
        <v>81.0</v>
      </c>
      <c r="N142" s="1">
        <v>10.4</v>
      </c>
      <c r="O142" s="1">
        <v>2.5</v>
      </c>
      <c r="P142" s="2">
        <f t="shared" si="1"/>
        <v>0</v>
      </c>
      <c r="Q142" s="1" t="str">
        <f t="shared" si="2"/>
        <v>High Leisure Screen</v>
      </c>
      <c r="R142" s="2" t="str">
        <f t="shared" si="3"/>
        <v>High Total Screen</v>
      </c>
      <c r="S142" s="2" t="str">
        <f t="shared" si="4"/>
        <v>Lower Exercise</v>
      </c>
      <c r="T142" s="2" t="str">
        <f t="shared" si="5"/>
        <v>Higher Social</v>
      </c>
      <c r="AA142" s="1">
        <v>1.91</v>
      </c>
      <c r="AB142" s="2">
        <f t="shared" si="6"/>
        <v>1.068153081</v>
      </c>
    </row>
    <row r="143">
      <c r="A143" s="1" t="s">
        <v>200</v>
      </c>
      <c r="B143" s="1">
        <v>40.0</v>
      </c>
      <c r="C143" s="1" t="s">
        <v>16</v>
      </c>
      <c r="D143" s="1" t="s">
        <v>32</v>
      </c>
      <c r="E143" s="1" t="s">
        <v>18</v>
      </c>
      <c r="F143" s="1">
        <v>10.39</v>
      </c>
      <c r="G143" s="1">
        <v>1.58</v>
      </c>
      <c r="H143" s="1">
        <v>8.81</v>
      </c>
      <c r="I143" s="1">
        <v>7.82</v>
      </c>
      <c r="J143" s="1">
        <v>3.0</v>
      </c>
      <c r="K143" s="1">
        <v>6.8</v>
      </c>
      <c r="L143" s="1">
        <v>73.6</v>
      </c>
      <c r="M143" s="1">
        <v>255.0</v>
      </c>
      <c r="N143" s="1">
        <v>7.4</v>
      </c>
      <c r="O143" s="1">
        <v>50.3</v>
      </c>
      <c r="P143" s="2">
        <f t="shared" si="1"/>
        <v>0</v>
      </c>
      <c r="Q143" s="1" t="str">
        <f t="shared" si="2"/>
        <v>High Leisure Screen</v>
      </c>
      <c r="R143" s="2" t="str">
        <f t="shared" si="3"/>
        <v>High Total Screen</v>
      </c>
      <c r="S143" s="2" t="str">
        <f t="shared" si="4"/>
        <v>Higher Exercise</v>
      </c>
      <c r="T143" s="2" t="str">
        <f t="shared" si="5"/>
        <v>Lower Social</v>
      </c>
      <c r="AA143" s="1">
        <v>1.58</v>
      </c>
      <c r="AB143" s="2">
        <f t="shared" si="6"/>
        <v>0.9477893989</v>
      </c>
    </row>
    <row r="144">
      <c r="A144" s="1" t="s">
        <v>201</v>
      </c>
      <c r="B144" s="1">
        <v>17.0</v>
      </c>
      <c r="C144" s="1" t="s">
        <v>16</v>
      </c>
      <c r="D144" s="1" t="s">
        <v>17</v>
      </c>
      <c r="E144" s="1" t="s">
        <v>23</v>
      </c>
      <c r="F144" s="1">
        <v>3.76</v>
      </c>
      <c r="G144" s="1">
        <v>0.78</v>
      </c>
      <c r="H144" s="1">
        <v>2.98</v>
      </c>
      <c r="I144" s="1">
        <v>7.99</v>
      </c>
      <c r="J144" s="1">
        <v>2.0</v>
      </c>
      <c r="K144" s="1">
        <v>2.9</v>
      </c>
      <c r="L144" s="1">
        <v>79.6</v>
      </c>
      <c r="M144" s="1">
        <v>185.0</v>
      </c>
      <c r="N144" s="1">
        <v>10.0</v>
      </c>
      <c r="O144" s="1">
        <v>60.1</v>
      </c>
      <c r="P144" s="2">
        <f t="shared" si="1"/>
        <v>0</v>
      </c>
      <c r="Q144" s="1" t="str">
        <f t="shared" si="2"/>
        <v>Low Leisure Screen</v>
      </c>
      <c r="R144" s="2" t="str">
        <f t="shared" si="3"/>
        <v>Low Total Screen</v>
      </c>
      <c r="S144" s="2" t="str">
        <f t="shared" si="4"/>
        <v/>
      </c>
      <c r="T144" s="2" t="str">
        <f t="shared" si="5"/>
        <v/>
      </c>
      <c r="AA144" s="1">
        <v>0.78</v>
      </c>
      <c r="AB144" s="2">
        <f t="shared" si="6"/>
        <v>0.5766133643</v>
      </c>
    </row>
    <row r="145">
      <c r="A145" s="1" t="s">
        <v>202</v>
      </c>
      <c r="B145" s="1">
        <v>31.0</v>
      </c>
      <c r="C145" s="1" t="s">
        <v>16</v>
      </c>
      <c r="D145" s="1" t="s">
        <v>17</v>
      </c>
      <c r="E145" s="1" t="s">
        <v>23</v>
      </c>
      <c r="F145" s="1">
        <v>5.9</v>
      </c>
      <c r="G145" s="1">
        <v>0.34</v>
      </c>
      <c r="H145" s="1">
        <v>5.56</v>
      </c>
      <c r="I145" s="1">
        <v>7.58</v>
      </c>
      <c r="J145" s="1">
        <v>2.0</v>
      </c>
      <c r="K145" s="1">
        <v>5.5</v>
      </c>
      <c r="L145" s="1">
        <v>67.1</v>
      </c>
      <c r="M145" s="1">
        <v>276.0</v>
      </c>
      <c r="N145" s="1">
        <v>10.8</v>
      </c>
      <c r="O145" s="1">
        <v>49.3</v>
      </c>
      <c r="P145" s="2">
        <f t="shared" si="1"/>
        <v>0</v>
      </c>
      <c r="Q145" s="1" t="str">
        <f t="shared" si="2"/>
        <v>Low Leisure Screen</v>
      </c>
      <c r="R145" s="2" t="str">
        <f t="shared" si="3"/>
        <v>Low Total Screen</v>
      </c>
      <c r="S145" s="2" t="str">
        <f t="shared" si="4"/>
        <v/>
      </c>
      <c r="T145" s="2" t="str">
        <f t="shared" si="5"/>
        <v/>
      </c>
      <c r="AA145" s="1">
        <v>0.34</v>
      </c>
      <c r="AB145" s="2">
        <f t="shared" si="6"/>
        <v>0.292669614</v>
      </c>
    </row>
    <row r="146">
      <c r="A146" s="1" t="s">
        <v>203</v>
      </c>
      <c r="B146" s="1">
        <v>32.0</v>
      </c>
      <c r="C146" s="1" t="s">
        <v>16</v>
      </c>
      <c r="D146" s="1" t="s">
        <v>17</v>
      </c>
      <c r="E146" s="1" t="s">
        <v>27</v>
      </c>
      <c r="F146" s="1">
        <v>8.76</v>
      </c>
      <c r="G146" s="1">
        <v>1.86</v>
      </c>
      <c r="H146" s="1">
        <v>6.9</v>
      </c>
      <c r="I146" s="1">
        <v>7.83</v>
      </c>
      <c r="J146" s="1">
        <v>2.0</v>
      </c>
      <c r="K146" s="1">
        <v>6.2</v>
      </c>
      <c r="L146" s="1">
        <v>54.4</v>
      </c>
      <c r="M146" s="1">
        <v>168.0</v>
      </c>
      <c r="N146" s="1">
        <v>10.0</v>
      </c>
      <c r="O146" s="1">
        <v>30.2</v>
      </c>
      <c r="P146" s="2">
        <f t="shared" si="1"/>
        <v>0</v>
      </c>
      <c r="Q146" s="1" t="str">
        <f t="shared" si="2"/>
        <v>High Leisure Screen</v>
      </c>
      <c r="R146" s="2" t="str">
        <f t="shared" si="3"/>
        <v>Low Total Screen</v>
      </c>
      <c r="S146" s="2" t="str">
        <f t="shared" si="4"/>
        <v/>
      </c>
      <c r="T146" s="2" t="str">
        <f t="shared" si="5"/>
        <v/>
      </c>
      <c r="AA146" s="1">
        <v>1.86</v>
      </c>
      <c r="AB146" s="2">
        <f t="shared" si="6"/>
        <v>1.050821625</v>
      </c>
    </row>
    <row r="147">
      <c r="A147" s="1" t="s">
        <v>204</v>
      </c>
      <c r="B147" s="1">
        <v>36.0</v>
      </c>
      <c r="C147" s="1" t="s">
        <v>30</v>
      </c>
      <c r="D147" s="1" t="s">
        <v>32</v>
      </c>
      <c r="E147" s="1" t="s">
        <v>27</v>
      </c>
      <c r="F147" s="1">
        <v>12.18</v>
      </c>
      <c r="G147" s="1">
        <v>1.91</v>
      </c>
      <c r="H147" s="1">
        <v>10.27</v>
      </c>
      <c r="I147" s="1">
        <v>6.69</v>
      </c>
      <c r="J147" s="1">
        <v>1.0</v>
      </c>
      <c r="K147" s="1">
        <v>10.0</v>
      </c>
      <c r="L147" s="1">
        <v>36.4</v>
      </c>
      <c r="M147" s="1">
        <v>160.0</v>
      </c>
      <c r="N147" s="1">
        <v>11.2</v>
      </c>
      <c r="O147" s="1">
        <v>0.0</v>
      </c>
      <c r="P147" s="2">
        <f t="shared" si="1"/>
        <v>0</v>
      </c>
      <c r="Q147" s="1" t="str">
        <f t="shared" si="2"/>
        <v>High Leisure Screen</v>
      </c>
      <c r="R147" s="2" t="str">
        <f t="shared" si="3"/>
        <v>High Total Screen</v>
      </c>
      <c r="S147" s="2" t="str">
        <f t="shared" si="4"/>
        <v>Higher Exercise</v>
      </c>
      <c r="T147" s="2" t="str">
        <f t="shared" si="5"/>
        <v>Higher Social</v>
      </c>
      <c r="AA147" s="1">
        <v>1.91</v>
      </c>
      <c r="AB147" s="2">
        <f t="shared" si="6"/>
        <v>1.068153081</v>
      </c>
    </row>
    <row r="148">
      <c r="A148" s="1" t="s">
        <v>206</v>
      </c>
      <c r="B148" s="1">
        <v>20.0</v>
      </c>
      <c r="C148" s="1" t="s">
        <v>16</v>
      </c>
      <c r="D148" s="1" t="s">
        <v>32</v>
      </c>
      <c r="E148" s="1" t="s">
        <v>23</v>
      </c>
      <c r="F148" s="1">
        <v>6.31</v>
      </c>
      <c r="G148" s="1">
        <v>0.54</v>
      </c>
      <c r="H148" s="1">
        <v>5.77</v>
      </c>
      <c r="I148" s="1">
        <v>9.0</v>
      </c>
      <c r="J148" s="1">
        <v>4.0</v>
      </c>
      <c r="K148" s="1">
        <v>2.7</v>
      </c>
      <c r="L148" s="1">
        <v>100.0</v>
      </c>
      <c r="M148" s="1">
        <v>253.0</v>
      </c>
      <c r="N148" s="1">
        <v>17.9</v>
      </c>
      <c r="O148" s="1">
        <v>97.0</v>
      </c>
      <c r="P148" s="2">
        <f t="shared" si="1"/>
        <v>0</v>
      </c>
      <c r="Q148" s="1" t="str">
        <f t="shared" si="2"/>
        <v>Low Leisure Screen</v>
      </c>
      <c r="R148" s="2" t="str">
        <f t="shared" si="3"/>
        <v>Low Total Screen</v>
      </c>
      <c r="S148" s="2" t="str">
        <f t="shared" si="4"/>
        <v/>
      </c>
      <c r="T148" s="2" t="str">
        <f t="shared" si="5"/>
        <v/>
      </c>
      <c r="AA148" s="1">
        <v>0.54</v>
      </c>
      <c r="AB148" s="2">
        <f t="shared" si="6"/>
        <v>0.4317824164</v>
      </c>
    </row>
    <row r="149">
      <c r="A149" s="1" t="s">
        <v>207</v>
      </c>
      <c r="B149" s="1">
        <v>19.0</v>
      </c>
      <c r="C149" s="1" t="s">
        <v>30</v>
      </c>
      <c r="D149" s="1" t="s">
        <v>32</v>
      </c>
      <c r="E149" s="1" t="s">
        <v>18</v>
      </c>
      <c r="F149" s="1">
        <v>8.7</v>
      </c>
      <c r="G149" s="1">
        <v>4.17</v>
      </c>
      <c r="H149" s="1">
        <v>4.53</v>
      </c>
      <c r="I149" s="1">
        <v>5.83</v>
      </c>
      <c r="J149" s="1">
        <v>1.0</v>
      </c>
      <c r="K149" s="1">
        <v>10.0</v>
      </c>
      <c r="L149" s="1">
        <v>44.2</v>
      </c>
      <c r="M149" s="1">
        <v>127.0</v>
      </c>
      <c r="N149" s="1">
        <v>0.0</v>
      </c>
      <c r="O149" s="1">
        <v>8.0</v>
      </c>
      <c r="P149" s="2">
        <f t="shared" si="1"/>
        <v>0</v>
      </c>
      <c r="Q149" s="1" t="str">
        <f t="shared" si="2"/>
        <v>Low Leisure Screen</v>
      </c>
      <c r="R149" s="2" t="str">
        <f t="shared" si="3"/>
        <v>Low Total Screen</v>
      </c>
      <c r="S149" s="2" t="str">
        <f t="shared" si="4"/>
        <v/>
      </c>
      <c r="T149" s="2" t="str">
        <f t="shared" si="5"/>
        <v/>
      </c>
      <c r="AA149" s="1">
        <v>4.17</v>
      </c>
      <c r="AB149" s="2">
        <f t="shared" si="6"/>
        <v>1.642872689</v>
      </c>
    </row>
    <row r="150">
      <c r="A150" s="1" t="s">
        <v>208</v>
      </c>
      <c r="B150" s="1">
        <v>34.0</v>
      </c>
      <c r="C150" s="1" t="s">
        <v>16</v>
      </c>
      <c r="D150" s="1" t="s">
        <v>37</v>
      </c>
      <c r="E150" s="1" t="s">
        <v>18</v>
      </c>
      <c r="F150" s="1">
        <v>7.18</v>
      </c>
      <c r="G150" s="1">
        <v>1.47</v>
      </c>
      <c r="H150" s="1">
        <v>5.71</v>
      </c>
      <c r="I150" s="1">
        <v>6.95</v>
      </c>
      <c r="J150" s="1">
        <v>1.0</v>
      </c>
      <c r="K150" s="1">
        <v>3.6</v>
      </c>
      <c r="L150" s="1">
        <v>64.8</v>
      </c>
      <c r="M150" s="1">
        <v>104.0</v>
      </c>
      <c r="N150" s="1">
        <v>8.0</v>
      </c>
      <c r="O150" s="1">
        <v>43.7</v>
      </c>
      <c r="P150" s="2">
        <f t="shared" si="1"/>
        <v>0</v>
      </c>
      <c r="Q150" s="1" t="str">
        <f t="shared" si="2"/>
        <v>Low Leisure Screen</v>
      </c>
      <c r="R150" s="2" t="str">
        <f t="shared" si="3"/>
        <v>Low Total Screen</v>
      </c>
      <c r="S150" s="2" t="str">
        <f t="shared" si="4"/>
        <v/>
      </c>
      <c r="T150" s="2" t="str">
        <f t="shared" si="5"/>
        <v/>
      </c>
      <c r="AA150" s="1">
        <v>1.47</v>
      </c>
      <c r="AB150" s="2">
        <f t="shared" si="6"/>
        <v>0.9042181506</v>
      </c>
    </row>
    <row r="151">
      <c r="A151" s="1" t="s">
        <v>210</v>
      </c>
      <c r="B151" s="1">
        <v>32.0</v>
      </c>
      <c r="C151" s="1" t="s">
        <v>34</v>
      </c>
      <c r="D151" s="1" t="s">
        <v>17</v>
      </c>
      <c r="E151" s="1" t="s">
        <v>27</v>
      </c>
      <c r="F151" s="1">
        <v>9.11</v>
      </c>
      <c r="G151" s="1">
        <v>0.93</v>
      </c>
      <c r="H151" s="1">
        <v>8.18</v>
      </c>
      <c r="I151" s="1">
        <v>6.95</v>
      </c>
      <c r="J151" s="1">
        <v>1.0</v>
      </c>
      <c r="K151" s="1">
        <v>9.0</v>
      </c>
      <c r="L151" s="1">
        <v>45.4</v>
      </c>
      <c r="M151" s="1">
        <v>177.0</v>
      </c>
      <c r="N151" s="1">
        <v>0.7</v>
      </c>
      <c r="O151" s="1">
        <v>20.3</v>
      </c>
      <c r="P151" s="2">
        <f t="shared" si="1"/>
        <v>0</v>
      </c>
      <c r="Q151" s="1" t="str">
        <f t="shared" si="2"/>
        <v>High Leisure Screen</v>
      </c>
      <c r="R151" s="2" t="str">
        <f t="shared" si="3"/>
        <v>High Total Screen</v>
      </c>
      <c r="S151" s="2" t="str">
        <f t="shared" si="4"/>
        <v>Higher Exercise</v>
      </c>
      <c r="T151" s="2" t="str">
        <f t="shared" si="5"/>
        <v>Lower Social</v>
      </c>
      <c r="AA151" s="1">
        <v>0.93</v>
      </c>
      <c r="AB151" s="2">
        <f t="shared" si="6"/>
        <v>0.6575200029</v>
      </c>
    </row>
    <row r="152">
      <c r="A152" s="1" t="s">
        <v>213</v>
      </c>
      <c r="B152" s="1">
        <v>32.0</v>
      </c>
      <c r="C152" s="1" t="s">
        <v>16</v>
      </c>
      <c r="D152" s="1" t="s">
        <v>17</v>
      </c>
      <c r="E152" s="1" t="s">
        <v>23</v>
      </c>
      <c r="F152" s="1">
        <v>7.47</v>
      </c>
      <c r="G152" s="1">
        <v>0.37</v>
      </c>
      <c r="H152" s="1">
        <v>7.1</v>
      </c>
      <c r="I152" s="1">
        <v>7.65</v>
      </c>
      <c r="J152" s="1">
        <v>1.0</v>
      </c>
      <c r="K152" s="1">
        <v>10.0</v>
      </c>
      <c r="L152" s="1">
        <v>37.9</v>
      </c>
      <c r="M152" s="1">
        <v>216.0</v>
      </c>
      <c r="N152" s="1">
        <v>15.5</v>
      </c>
      <c r="O152" s="1">
        <v>1.7</v>
      </c>
      <c r="P152" s="2">
        <f t="shared" si="1"/>
        <v>0</v>
      </c>
      <c r="Q152" s="1" t="str">
        <f t="shared" si="2"/>
        <v>High Leisure Screen</v>
      </c>
      <c r="R152" s="2" t="str">
        <f t="shared" si="3"/>
        <v>Low Total Screen</v>
      </c>
      <c r="S152" s="2" t="str">
        <f t="shared" si="4"/>
        <v/>
      </c>
      <c r="T152" s="2" t="str">
        <f t="shared" si="5"/>
        <v/>
      </c>
      <c r="AA152" s="1">
        <v>0.37</v>
      </c>
      <c r="AB152" s="2">
        <f t="shared" si="6"/>
        <v>0.3148107398</v>
      </c>
    </row>
    <row r="153">
      <c r="A153" s="1" t="s">
        <v>214</v>
      </c>
      <c r="B153" s="1">
        <v>32.0</v>
      </c>
      <c r="C153" s="1" t="s">
        <v>16</v>
      </c>
      <c r="D153" s="1" t="s">
        <v>17</v>
      </c>
      <c r="E153" s="1" t="s">
        <v>23</v>
      </c>
      <c r="F153" s="1">
        <v>8.97</v>
      </c>
      <c r="G153" s="1">
        <v>1.93</v>
      </c>
      <c r="H153" s="1">
        <v>7.04</v>
      </c>
      <c r="I153" s="1">
        <v>8.09</v>
      </c>
      <c r="J153" s="1">
        <v>2.0</v>
      </c>
      <c r="K153" s="1">
        <v>8.2</v>
      </c>
      <c r="L153" s="1">
        <v>51.0</v>
      </c>
      <c r="M153" s="1">
        <v>72.0</v>
      </c>
      <c r="N153" s="1">
        <v>6.7</v>
      </c>
      <c r="O153" s="1">
        <v>29.9</v>
      </c>
      <c r="P153" s="2">
        <f t="shared" si="1"/>
        <v>0</v>
      </c>
      <c r="Q153" s="1" t="str">
        <f t="shared" si="2"/>
        <v>High Leisure Screen</v>
      </c>
      <c r="R153" s="2" t="str">
        <f t="shared" si="3"/>
        <v>Low Total Screen</v>
      </c>
      <c r="S153" s="2" t="str">
        <f t="shared" si="4"/>
        <v/>
      </c>
      <c r="T153" s="2" t="str">
        <f t="shared" si="5"/>
        <v/>
      </c>
      <c r="AA153" s="1">
        <v>1.93</v>
      </c>
      <c r="AB153" s="2">
        <f t="shared" si="6"/>
        <v>1.075002423</v>
      </c>
    </row>
    <row r="154">
      <c r="A154" s="1" t="s">
        <v>215</v>
      </c>
      <c r="B154" s="1">
        <v>24.0</v>
      </c>
      <c r="C154" s="1" t="s">
        <v>30</v>
      </c>
      <c r="D154" s="1" t="s">
        <v>32</v>
      </c>
      <c r="E154" s="1" t="s">
        <v>23</v>
      </c>
      <c r="F154" s="1">
        <v>7.98</v>
      </c>
      <c r="G154" s="1">
        <v>0.7</v>
      </c>
      <c r="H154" s="1">
        <v>7.28</v>
      </c>
      <c r="I154" s="1">
        <v>7.12</v>
      </c>
      <c r="J154" s="1">
        <v>1.0</v>
      </c>
      <c r="K154" s="1">
        <v>9.5</v>
      </c>
      <c r="L154" s="1">
        <v>50.4</v>
      </c>
      <c r="M154" s="1">
        <v>57.0</v>
      </c>
      <c r="N154" s="1">
        <v>2.3</v>
      </c>
      <c r="O154" s="1">
        <v>7.9</v>
      </c>
      <c r="P154" s="2">
        <f t="shared" si="1"/>
        <v>0</v>
      </c>
      <c r="Q154" s="1" t="str">
        <f t="shared" si="2"/>
        <v>High Leisure Screen</v>
      </c>
      <c r="R154" s="2" t="str">
        <f t="shared" si="3"/>
        <v>Low Total Screen</v>
      </c>
      <c r="S154" s="2" t="str">
        <f t="shared" si="4"/>
        <v/>
      </c>
      <c r="T154" s="2" t="str">
        <f t="shared" si="5"/>
        <v/>
      </c>
      <c r="AA154" s="1">
        <v>0.7</v>
      </c>
      <c r="AB154" s="2">
        <f t="shared" si="6"/>
        <v>0.5306282511</v>
      </c>
    </row>
    <row r="155">
      <c r="A155" s="1" t="s">
        <v>217</v>
      </c>
      <c r="B155" s="1">
        <v>31.0</v>
      </c>
      <c r="C155" s="1" t="s">
        <v>30</v>
      </c>
      <c r="D155" s="1" t="s">
        <v>43</v>
      </c>
      <c r="E155" s="1" t="s">
        <v>27</v>
      </c>
      <c r="F155" s="1">
        <v>7.22</v>
      </c>
      <c r="G155" s="1">
        <v>1.48</v>
      </c>
      <c r="H155" s="1">
        <v>5.74</v>
      </c>
      <c r="I155" s="1">
        <v>6.19</v>
      </c>
      <c r="J155" s="1">
        <v>1.0</v>
      </c>
      <c r="K155" s="1">
        <v>7.9</v>
      </c>
      <c r="L155" s="1">
        <v>48.5</v>
      </c>
      <c r="M155" s="1">
        <v>125.0</v>
      </c>
      <c r="N155" s="1">
        <v>14.3</v>
      </c>
      <c r="O155" s="1">
        <v>9.6</v>
      </c>
      <c r="P155" s="2">
        <f t="shared" si="1"/>
        <v>0</v>
      </c>
      <c r="Q155" s="1" t="str">
        <f t="shared" si="2"/>
        <v>Low Leisure Screen</v>
      </c>
      <c r="R155" s="2" t="str">
        <f t="shared" si="3"/>
        <v>Low Total Screen</v>
      </c>
      <c r="S155" s="2" t="str">
        <f t="shared" si="4"/>
        <v/>
      </c>
      <c r="T155" s="2" t="str">
        <f t="shared" si="5"/>
        <v/>
      </c>
      <c r="AA155" s="1">
        <v>1.48</v>
      </c>
      <c r="AB155" s="2">
        <f t="shared" si="6"/>
        <v>0.9082585602</v>
      </c>
    </row>
    <row r="156">
      <c r="A156" s="1" t="s">
        <v>218</v>
      </c>
      <c r="B156" s="1">
        <v>32.0</v>
      </c>
      <c r="C156" s="1" t="s">
        <v>30</v>
      </c>
      <c r="D156" s="1" t="s">
        <v>17</v>
      </c>
      <c r="E156" s="1" t="s">
        <v>23</v>
      </c>
      <c r="F156" s="1">
        <v>7.16</v>
      </c>
      <c r="G156" s="1">
        <v>1.04</v>
      </c>
      <c r="H156" s="1">
        <v>6.12</v>
      </c>
      <c r="I156" s="1">
        <v>8.02</v>
      </c>
      <c r="J156" s="1">
        <v>2.0</v>
      </c>
      <c r="K156" s="1">
        <v>5.5</v>
      </c>
      <c r="L156" s="1">
        <v>77.9</v>
      </c>
      <c r="M156" s="1">
        <v>174.0</v>
      </c>
      <c r="N156" s="1">
        <v>15.1</v>
      </c>
      <c r="O156" s="1">
        <v>59.8</v>
      </c>
      <c r="P156" s="2">
        <f t="shared" si="1"/>
        <v>0</v>
      </c>
      <c r="Q156" s="1" t="str">
        <f t="shared" si="2"/>
        <v>Low Leisure Screen</v>
      </c>
      <c r="R156" s="2" t="str">
        <f t="shared" si="3"/>
        <v>Low Total Screen</v>
      </c>
      <c r="S156" s="2" t="str">
        <f t="shared" si="4"/>
        <v/>
      </c>
      <c r="T156" s="2" t="str">
        <f t="shared" si="5"/>
        <v/>
      </c>
      <c r="AA156" s="1">
        <v>1.04</v>
      </c>
      <c r="AB156" s="2">
        <f t="shared" si="6"/>
        <v>0.7129498079</v>
      </c>
    </row>
    <row r="157">
      <c r="A157" s="1" t="s">
        <v>220</v>
      </c>
      <c r="B157" s="1">
        <v>24.0</v>
      </c>
      <c r="C157" s="1" t="s">
        <v>16</v>
      </c>
      <c r="D157" s="1" t="s">
        <v>32</v>
      </c>
      <c r="E157" s="1" t="s">
        <v>18</v>
      </c>
      <c r="F157" s="1">
        <v>16.29</v>
      </c>
      <c r="G157" s="1">
        <v>5.9</v>
      </c>
      <c r="H157" s="1">
        <v>10.39</v>
      </c>
      <c r="I157" s="1">
        <v>6.5</v>
      </c>
      <c r="J157" s="1">
        <v>1.0</v>
      </c>
      <c r="K157" s="1">
        <v>10.0</v>
      </c>
      <c r="L157" s="1">
        <v>33.1</v>
      </c>
      <c r="M157" s="1">
        <v>113.0</v>
      </c>
      <c r="N157" s="1">
        <v>7.3</v>
      </c>
      <c r="O157" s="1">
        <v>4.8</v>
      </c>
      <c r="P157" s="2">
        <f t="shared" si="1"/>
        <v>0</v>
      </c>
      <c r="Q157" s="1" t="str">
        <f t="shared" si="2"/>
        <v>High Leisure Screen</v>
      </c>
      <c r="R157" s="2" t="str">
        <f t="shared" si="3"/>
        <v>High Total Screen</v>
      </c>
      <c r="S157" s="2" t="str">
        <f t="shared" si="4"/>
        <v>Higher Exercise</v>
      </c>
      <c r="T157" s="2" t="str">
        <f t="shared" si="5"/>
        <v>Lower Social</v>
      </c>
      <c r="AA157" s="1">
        <v>5.9</v>
      </c>
      <c r="AB157" s="2">
        <f t="shared" si="6"/>
        <v>1.931521412</v>
      </c>
    </row>
    <row r="158">
      <c r="A158" s="1" t="s">
        <v>221</v>
      </c>
      <c r="B158" s="1">
        <v>44.0</v>
      </c>
      <c r="C158" s="1" t="s">
        <v>16</v>
      </c>
      <c r="D158" s="1" t="s">
        <v>17</v>
      </c>
      <c r="E158" s="1" t="s">
        <v>27</v>
      </c>
      <c r="F158" s="1">
        <v>9.52</v>
      </c>
      <c r="G158" s="1">
        <v>0.48</v>
      </c>
      <c r="H158" s="1">
        <v>9.04</v>
      </c>
      <c r="I158" s="1">
        <v>5.56</v>
      </c>
      <c r="J158" s="1">
        <v>1.0</v>
      </c>
      <c r="K158" s="1">
        <v>9.9</v>
      </c>
      <c r="L158" s="1">
        <v>44.6</v>
      </c>
      <c r="M158" s="1">
        <v>8.0</v>
      </c>
      <c r="N158" s="1">
        <v>9.9</v>
      </c>
      <c r="O158" s="1">
        <v>0.6</v>
      </c>
      <c r="P158" s="2">
        <f t="shared" si="1"/>
        <v>0</v>
      </c>
      <c r="Q158" s="1" t="str">
        <f t="shared" si="2"/>
        <v>High Leisure Screen</v>
      </c>
      <c r="R158" s="2" t="str">
        <f t="shared" si="3"/>
        <v>High Total Screen</v>
      </c>
      <c r="S158" s="2" t="str">
        <f t="shared" si="4"/>
        <v>Lower Exercise</v>
      </c>
      <c r="T158" s="2" t="str">
        <f t="shared" si="5"/>
        <v>Higher Social</v>
      </c>
      <c r="AA158" s="1">
        <v>0.48</v>
      </c>
      <c r="AB158" s="2">
        <f t="shared" si="6"/>
        <v>0.3920420878</v>
      </c>
    </row>
    <row r="159">
      <c r="A159" s="1" t="s">
        <v>222</v>
      </c>
      <c r="B159" s="1">
        <v>33.0</v>
      </c>
      <c r="C159" s="1" t="s">
        <v>30</v>
      </c>
      <c r="D159" s="1" t="s">
        <v>35</v>
      </c>
      <c r="E159" s="1" t="s">
        <v>18</v>
      </c>
      <c r="F159" s="1">
        <v>12.39</v>
      </c>
      <c r="G159" s="1">
        <v>3.06</v>
      </c>
      <c r="H159" s="1">
        <v>9.33</v>
      </c>
      <c r="I159" s="1">
        <v>6.57</v>
      </c>
      <c r="J159" s="1">
        <v>1.0</v>
      </c>
      <c r="K159" s="1">
        <v>10.0</v>
      </c>
      <c r="L159" s="1">
        <v>37.7</v>
      </c>
      <c r="M159" s="1">
        <v>219.0</v>
      </c>
      <c r="N159" s="1">
        <v>9.2</v>
      </c>
      <c r="O159" s="1">
        <v>7.7</v>
      </c>
      <c r="P159" s="2">
        <f t="shared" si="1"/>
        <v>0</v>
      </c>
      <c r="Q159" s="1" t="str">
        <f t="shared" si="2"/>
        <v>High Leisure Screen</v>
      </c>
      <c r="R159" s="2" t="str">
        <f t="shared" si="3"/>
        <v>High Total Screen</v>
      </c>
      <c r="S159" s="2" t="str">
        <f t="shared" si="4"/>
        <v>Higher Exercise</v>
      </c>
      <c r="T159" s="2" t="str">
        <f t="shared" si="5"/>
        <v>Higher Social</v>
      </c>
      <c r="AA159" s="1">
        <v>3.06</v>
      </c>
      <c r="AB159" s="2">
        <f t="shared" si="6"/>
        <v>1.401182974</v>
      </c>
    </row>
    <row r="160">
      <c r="A160" s="1" t="s">
        <v>224</v>
      </c>
      <c r="B160" s="1">
        <v>20.0</v>
      </c>
      <c r="C160" s="1" t="s">
        <v>30</v>
      </c>
      <c r="D160" s="1" t="s">
        <v>43</v>
      </c>
      <c r="E160" s="1" t="s">
        <v>18</v>
      </c>
      <c r="F160" s="1">
        <v>8.8</v>
      </c>
      <c r="G160" s="1">
        <v>4.08</v>
      </c>
      <c r="H160" s="1">
        <v>4.72</v>
      </c>
      <c r="I160" s="1">
        <v>5.71</v>
      </c>
      <c r="J160" s="1">
        <v>1.0</v>
      </c>
      <c r="K160" s="1">
        <v>7.8</v>
      </c>
      <c r="L160" s="1">
        <v>58.2</v>
      </c>
      <c r="M160" s="1">
        <v>55.0</v>
      </c>
      <c r="N160" s="1">
        <v>17.8</v>
      </c>
      <c r="O160" s="1">
        <v>16.0</v>
      </c>
      <c r="P160" s="2">
        <f t="shared" si="1"/>
        <v>0</v>
      </c>
      <c r="Q160" s="1" t="str">
        <f t="shared" si="2"/>
        <v>Low Leisure Screen</v>
      </c>
      <c r="R160" s="2" t="str">
        <f t="shared" si="3"/>
        <v>Low Total Screen</v>
      </c>
      <c r="S160" s="2" t="str">
        <f t="shared" si="4"/>
        <v/>
      </c>
      <c r="T160" s="2" t="str">
        <f t="shared" si="5"/>
        <v/>
      </c>
      <c r="AA160" s="1">
        <v>4.08</v>
      </c>
      <c r="AB160" s="2">
        <f t="shared" si="6"/>
        <v>1.625311262</v>
      </c>
    </row>
    <row r="161">
      <c r="A161" s="1" t="s">
        <v>226</v>
      </c>
      <c r="B161" s="1">
        <v>35.0</v>
      </c>
      <c r="C161" s="1" t="s">
        <v>30</v>
      </c>
      <c r="D161" s="1" t="s">
        <v>17</v>
      </c>
      <c r="E161" s="1" t="s">
        <v>27</v>
      </c>
      <c r="F161" s="1">
        <v>8.99</v>
      </c>
      <c r="G161" s="1">
        <v>0.51</v>
      </c>
      <c r="H161" s="1">
        <v>8.48</v>
      </c>
      <c r="I161" s="1">
        <v>6.57</v>
      </c>
      <c r="J161" s="1">
        <v>1.0</v>
      </c>
      <c r="K161" s="1">
        <v>8.4</v>
      </c>
      <c r="L161" s="1">
        <v>55.6</v>
      </c>
      <c r="M161" s="1">
        <v>88.0</v>
      </c>
      <c r="N161" s="1">
        <v>4.1</v>
      </c>
      <c r="O161" s="1">
        <v>20.2</v>
      </c>
      <c r="P161" s="2">
        <f t="shared" si="1"/>
        <v>0</v>
      </c>
      <c r="Q161" s="1" t="str">
        <f t="shared" si="2"/>
        <v>High Leisure Screen</v>
      </c>
      <c r="R161" s="2" t="str">
        <f t="shared" si="3"/>
        <v>Low Total Screen</v>
      </c>
      <c r="S161" s="2" t="str">
        <f t="shared" si="4"/>
        <v/>
      </c>
      <c r="T161" s="2" t="str">
        <f t="shared" si="5"/>
        <v/>
      </c>
      <c r="AA161" s="1">
        <v>0.51</v>
      </c>
      <c r="AB161" s="2">
        <f t="shared" si="6"/>
        <v>0.4121096508</v>
      </c>
    </row>
    <row r="162">
      <c r="A162" s="1" t="s">
        <v>227</v>
      </c>
      <c r="B162" s="1">
        <v>22.0</v>
      </c>
      <c r="C162" s="1" t="s">
        <v>30</v>
      </c>
      <c r="D162" s="1" t="s">
        <v>17</v>
      </c>
      <c r="E162" s="1" t="s">
        <v>27</v>
      </c>
      <c r="F162" s="1">
        <v>9.69</v>
      </c>
      <c r="G162" s="1">
        <v>1.16</v>
      </c>
      <c r="H162" s="1">
        <v>8.53</v>
      </c>
      <c r="I162" s="1">
        <v>6.14</v>
      </c>
      <c r="J162" s="1">
        <v>1.0</v>
      </c>
      <c r="K162" s="1">
        <v>10.0</v>
      </c>
      <c r="L162" s="1">
        <v>45.5</v>
      </c>
      <c r="M162" s="1">
        <v>33.0</v>
      </c>
      <c r="N162" s="1">
        <v>10.5</v>
      </c>
      <c r="O162" s="1">
        <v>0.0</v>
      </c>
      <c r="P162" s="2">
        <f t="shared" si="1"/>
        <v>0</v>
      </c>
      <c r="Q162" s="1" t="str">
        <f t="shared" si="2"/>
        <v>High Leisure Screen</v>
      </c>
      <c r="R162" s="2" t="str">
        <f t="shared" si="3"/>
        <v>High Total Screen</v>
      </c>
      <c r="S162" s="2" t="str">
        <f t="shared" si="4"/>
        <v>Lower Exercise</v>
      </c>
      <c r="T162" s="2" t="str">
        <f t="shared" si="5"/>
        <v>Higher Social</v>
      </c>
      <c r="AA162" s="1">
        <v>1.16</v>
      </c>
      <c r="AB162" s="2">
        <f t="shared" si="6"/>
        <v>0.7701082217</v>
      </c>
    </row>
    <row r="163">
      <c r="A163" s="1" t="s">
        <v>229</v>
      </c>
      <c r="B163" s="1">
        <v>36.0</v>
      </c>
      <c r="C163" s="1" t="s">
        <v>16</v>
      </c>
      <c r="D163" s="1" t="s">
        <v>32</v>
      </c>
      <c r="E163" s="1" t="s">
        <v>27</v>
      </c>
      <c r="F163" s="1">
        <v>9.75</v>
      </c>
      <c r="G163" s="1">
        <v>0.49</v>
      </c>
      <c r="H163" s="1">
        <v>9.26</v>
      </c>
      <c r="I163" s="1">
        <v>7.64</v>
      </c>
      <c r="J163" s="1">
        <v>2.0</v>
      </c>
      <c r="K163" s="1">
        <v>10.0</v>
      </c>
      <c r="L163" s="1">
        <v>52.8</v>
      </c>
      <c r="M163" s="1">
        <v>291.0</v>
      </c>
      <c r="N163" s="1">
        <v>6.1</v>
      </c>
      <c r="O163" s="1">
        <v>13.0</v>
      </c>
      <c r="P163" s="2">
        <f t="shared" si="1"/>
        <v>0</v>
      </c>
      <c r="Q163" s="1" t="str">
        <f t="shared" si="2"/>
        <v>High Leisure Screen</v>
      </c>
      <c r="R163" s="2" t="str">
        <f t="shared" si="3"/>
        <v>High Total Screen</v>
      </c>
      <c r="S163" s="2" t="str">
        <f t="shared" si="4"/>
        <v>Higher Exercise</v>
      </c>
      <c r="T163" s="2" t="str">
        <f t="shared" si="5"/>
        <v>Lower Social</v>
      </c>
      <c r="AA163" s="1">
        <v>0.49</v>
      </c>
      <c r="AB163" s="2">
        <f t="shared" si="6"/>
        <v>0.39877612</v>
      </c>
    </row>
    <row r="164">
      <c r="A164" s="1" t="s">
        <v>231</v>
      </c>
      <c r="B164" s="1">
        <v>39.0</v>
      </c>
      <c r="C164" s="1" t="s">
        <v>30</v>
      </c>
      <c r="D164" s="1" t="s">
        <v>37</v>
      </c>
      <c r="E164" s="1" t="s">
        <v>18</v>
      </c>
      <c r="F164" s="1">
        <v>12.67</v>
      </c>
      <c r="G164" s="1">
        <v>6.76</v>
      </c>
      <c r="H164" s="1">
        <v>5.91</v>
      </c>
      <c r="I164" s="1">
        <v>6.68</v>
      </c>
      <c r="J164" s="1">
        <v>2.0</v>
      </c>
      <c r="K164" s="1">
        <v>10.0</v>
      </c>
      <c r="L164" s="1">
        <v>43.7</v>
      </c>
      <c r="M164" s="1">
        <v>103.0</v>
      </c>
      <c r="N164" s="1">
        <v>2.4</v>
      </c>
      <c r="O164" s="1">
        <v>16.7</v>
      </c>
      <c r="P164" s="2">
        <f t="shared" si="1"/>
        <v>0</v>
      </c>
      <c r="Q164" s="1" t="str">
        <f t="shared" si="2"/>
        <v>Low Leisure Screen</v>
      </c>
      <c r="R164" s="2" t="str">
        <f t="shared" si="3"/>
        <v>High Total Screen</v>
      </c>
      <c r="S164" s="2" t="str">
        <f t="shared" si="4"/>
        <v>Lower Exercise</v>
      </c>
      <c r="T164" s="2" t="str">
        <f t="shared" si="5"/>
        <v>Lower Social</v>
      </c>
      <c r="AA164" s="1">
        <v>6.76</v>
      </c>
      <c r="AB164" s="2">
        <f t="shared" si="6"/>
        <v>2.048982334</v>
      </c>
    </row>
    <row r="165">
      <c r="A165" s="1" t="s">
        <v>232</v>
      </c>
      <c r="B165" s="1">
        <v>23.0</v>
      </c>
      <c r="C165" s="1" t="s">
        <v>16</v>
      </c>
      <c r="D165" s="1" t="s">
        <v>32</v>
      </c>
      <c r="E165" s="1" t="s">
        <v>18</v>
      </c>
      <c r="F165" s="1">
        <v>12.06</v>
      </c>
      <c r="G165" s="1">
        <v>6.27</v>
      </c>
      <c r="H165" s="1">
        <v>5.79</v>
      </c>
      <c r="I165" s="1">
        <v>5.49</v>
      </c>
      <c r="J165" s="1">
        <v>1.0</v>
      </c>
      <c r="K165" s="1">
        <v>10.0</v>
      </c>
      <c r="L165" s="1">
        <v>43.2</v>
      </c>
      <c r="M165" s="1">
        <v>23.0</v>
      </c>
      <c r="N165" s="1">
        <v>4.1</v>
      </c>
      <c r="O165" s="1">
        <v>0.0</v>
      </c>
      <c r="P165" s="2">
        <f t="shared" si="1"/>
        <v>0</v>
      </c>
      <c r="Q165" s="1" t="str">
        <f t="shared" si="2"/>
        <v>Low Leisure Screen</v>
      </c>
      <c r="R165" s="2" t="str">
        <f t="shared" si="3"/>
        <v>High Total Screen</v>
      </c>
      <c r="S165" s="2" t="str">
        <f t="shared" si="4"/>
        <v>Lower Exercise</v>
      </c>
      <c r="T165" s="2" t="str">
        <f t="shared" si="5"/>
        <v>Lower Social</v>
      </c>
      <c r="AA165" s="1">
        <v>6.27</v>
      </c>
      <c r="AB165" s="2">
        <f t="shared" si="6"/>
        <v>1.983756292</v>
      </c>
    </row>
    <row r="166">
      <c r="A166" s="1" t="s">
        <v>233</v>
      </c>
      <c r="B166" s="1">
        <v>37.0</v>
      </c>
      <c r="C166" s="1" t="s">
        <v>16</v>
      </c>
      <c r="D166" s="1" t="s">
        <v>43</v>
      </c>
      <c r="E166" s="1" t="s">
        <v>18</v>
      </c>
      <c r="F166" s="1">
        <v>7.64</v>
      </c>
      <c r="G166" s="1">
        <v>3.89</v>
      </c>
      <c r="H166" s="1">
        <v>3.75</v>
      </c>
      <c r="I166" s="1">
        <v>8.03</v>
      </c>
      <c r="J166" s="1">
        <v>2.0</v>
      </c>
      <c r="K166" s="1">
        <v>5.1</v>
      </c>
      <c r="L166" s="1">
        <v>70.1</v>
      </c>
      <c r="M166" s="1">
        <v>176.0</v>
      </c>
      <c r="N166" s="1">
        <v>13.7</v>
      </c>
      <c r="O166" s="1">
        <v>48.9</v>
      </c>
      <c r="P166" s="2">
        <f t="shared" si="1"/>
        <v>0</v>
      </c>
      <c r="Q166" s="1" t="str">
        <f t="shared" si="2"/>
        <v>Low Leisure Screen</v>
      </c>
      <c r="R166" s="2" t="str">
        <f t="shared" si="3"/>
        <v>Low Total Screen</v>
      </c>
      <c r="S166" s="2" t="str">
        <f t="shared" si="4"/>
        <v/>
      </c>
      <c r="T166" s="2" t="str">
        <f t="shared" si="5"/>
        <v/>
      </c>
      <c r="AA166" s="1">
        <v>3.89</v>
      </c>
      <c r="AB166" s="2">
        <f t="shared" si="6"/>
        <v>1.587192303</v>
      </c>
    </row>
    <row r="167">
      <c r="A167" s="1" t="s">
        <v>234</v>
      </c>
      <c r="B167" s="1">
        <v>33.0</v>
      </c>
      <c r="C167" s="1" t="s">
        <v>16</v>
      </c>
      <c r="D167" s="1" t="s">
        <v>17</v>
      </c>
      <c r="E167" s="1" t="s">
        <v>27</v>
      </c>
      <c r="F167" s="1">
        <v>10.26</v>
      </c>
      <c r="G167" s="1">
        <v>1.07</v>
      </c>
      <c r="H167" s="1">
        <v>9.19</v>
      </c>
      <c r="I167" s="1">
        <v>5.74</v>
      </c>
      <c r="J167" s="1">
        <v>1.0</v>
      </c>
      <c r="K167" s="1">
        <v>10.0</v>
      </c>
      <c r="L167" s="1">
        <v>42.6</v>
      </c>
      <c r="M167" s="1">
        <v>152.0</v>
      </c>
      <c r="N167" s="1">
        <v>11.8</v>
      </c>
      <c r="O167" s="1">
        <v>0.0</v>
      </c>
      <c r="P167" s="2">
        <f t="shared" si="1"/>
        <v>0</v>
      </c>
      <c r="Q167" s="1" t="str">
        <f t="shared" si="2"/>
        <v>High Leisure Screen</v>
      </c>
      <c r="R167" s="2" t="str">
        <f t="shared" si="3"/>
        <v>High Total Screen</v>
      </c>
      <c r="S167" s="2" t="str">
        <f t="shared" si="4"/>
        <v>Higher Exercise</v>
      </c>
      <c r="T167" s="2" t="str">
        <f t="shared" si="5"/>
        <v>Higher Social</v>
      </c>
      <c r="AA167" s="1">
        <v>1.07</v>
      </c>
      <c r="AB167" s="2">
        <f t="shared" si="6"/>
        <v>0.7275486073</v>
      </c>
    </row>
    <row r="168">
      <c r="A168" s="1" t="s">
        <v>235</v>
      </c>
      <c r="B168" s="1">
        <v>36.0</v>
      </c>
      <c r="C168" s="1" t="s">
        <v>16</v>
      </c>
      <c r="D168" s="1" t="s">
        <v>17</v>
      </c>
      <c r="E168" s="1" t="s">
        <v>18</v>
      </c>
      <c r="F168" s="1">
        <v>5.57</v>
      </c>
      <c r="G168" s="1">
        <v>1.06</v>
      </c>
      <c r="H168" s="1">
        <v>4.51</v>
      </c>
      <c r="I168" s="1">
        <v>7.89</v>
      </c>
      <c r="J168" s="1">
        <v>3.0</v>
      </c>
      <c r="K168" s="1">
        <v>6.7</v>
      </c>
      <c r="L168" s="1">
        <v>73.2</v>
      </c>
      <c r="M168" s="1">
        <v>114.0</v>
      </c>
      <c r="N168" s="1">
        <v>15.4</v>
      </c>
      <c r="O168" s="1">
        <v>58.5</v>
      </c>
      <c r="P168" s="2">
        <f t="shared" si="1"/>
        <v>0</v>
      </c>
      <c r="Q168" s="1" t="str">
        <f t="shared" si="2"/>
        <v>Low Leisure Screen</v>
      </c>
      <c r="R168" s="2" t="str">
        <f t="shared" si="3"/>
        <v>Low Total Screen</v>
      </c>
      <c r="S168" s="2" t="str">
        <f t="shared" si="4"/>
        <v/>
      </c>
      <c r="T168" s="2" t="str">
        <f t="shared" si="5"/>
        <v/>
      </c>
      <c r="AA168" s="1">
        <v>1.06</v>
      </c>
      <c r="AB168" s="2">
        <f t="shared" si="6"/>
        <v>0.7227059828</v>
      </c>
    </row>
    <row r="169">
      <c r="A169" s="1" t="s">
        <v>236</v>
      </c>
      <c r="B169" s="1">
        <v>45.0</v>
      </c>
      <c r="C169" s="1" t="s">
        <v>16</v>
      </c>
      <c r="D169" s="1" t="s">
        <v>17</v>
      </c>
      <c r="E169" s="1" t="s">
        <v>18</v>
      </c>
      <c r="F169" s="1">
        <v>8.32</v>
      </c>
      <c r="G169" s="1">
        <v>2.99</v>
      </c>
      <c r="H169" s="1">
        <v>5.33</v>
      </c>
      <c r="I169" s="1">
        <v>6.65</v>
      </c>
      <c r="J169" s="1">
        <v>1.0</v>
      </c>
      <c r="K169" s="1">
        <v>8.3</v>
      </c>
      <c r="L169" s="1">
        <v>49.6</v>
      </c>
      <c r="M169" s="1">
        <v>174.0</v>
      </c>
      <c r="N169" s="1">
        <v>10.1</v>
      </c>
      <c r="O169" s="1">
        <v>22.6</v>
      </c>
      <c r="P169" s="2">
        <f t="shared" si="1"/>
        <v>0</v>
      </c>
      <c r="Q169" s="1" t="str">
        <f t="shared" si="2"/>
        <v>Low Leisure Screen</v>
      </c>
      <c r="R169" s="2" t="str">
        <f t="shared" si="3"/>
        <v>Low Total Screen</v>
      </c>
      <c r="S169" s="2" t="str">
        <f t="shared" si="4"/>
        <v/>
      </c>
      <c r="T169" s="2" t="str">
        <f t="shared" si="5"/>
        <v/>
      </c>
      <c r="AA169" s="1">
        <v>2.99</v>
      </c>
      <c r="AB169" s="2">
        <f t="shared" si="6"/>
        <v>1.383791231</v>
      </c>
    </row>
    <row r="170">
      <c r="A170" s="1" t="s">
        <v>237</v>
      </c>
      <c r="B170" s="1">
        <v>28.0</v>
      </c>
      <c r="C170" s="1" t="s">
        <v>16</v>
      </c>
      <c r="D170" s="1" t="s">
        <v>32</v>
      </c>
      <c r="E170" s="1" t="s">
        <v>27</v>
      </c>
      <c r="F170" s="1">
        <v>10.63</v>
      </c>
      <c r="G170" s="1">
        <v>1.09</v>
      </c>
      <c r="H170" s="1">
        <v>9.54</v>
      </c>
      <c r="I170" s="1">
        <v>6.49</v>
      </c>
      <c r="J170" s="1">
        <v>1.0</v>
      </c>
      <c r="K170" s="1">
        <v>6.9</v>
      </c>
      <c r="L170" s="1">
        <v>50.3</v>
      </c>
      <c r="M170" s="1">
        <v>35.0</v>
      </c>
      <c r="N170" s="1">
        <v>9.4</v>
      </c>
      <c r="O170" s="1">
        <v>18.0</v>
      </c>
      <c r="P170" s="2">
        <f t="shared" si="1"/>
        <v>0</v>
      </c>
      <c r="Q170" s="1" t="str">
        <f t="shared" si="2"/>
        <v>High Leisure Screen</v>
      </c>
      <c r="R170" s="2" t="str">
        <f t="shared" si="3"/>
        <v>High Total Screen</v>
      </c>
      <c r="S170" s="2" t="str">
        <f t="shared" si="4"/>
        <v>Lower Exercise</v>
      </c>
      <c r="T170" s="2" t="str">
        <f t="shared" si="5"/>
        <v>Higher Social</v>
      </c>
      <c r="AA170" s="1">
        <v>1.09</v>
      </c>
      <c r="AB170" s="2">
        <f t="shared" si="6"/>
        <v>0.737164066</v>
      </c>
    </row>
    <row r="171">
      <c r="A171" s="1" t="s">
        <v>238</v>
      </c>
      <c r="B171" s="1">
        <v>23.0</v>
      </c>
      <c r="C171" s="1" t="s">
        <v>30</v>
      </c>
      <c r="D171" s="1" t="s">
        <v>32</v>
      </c>
      <c r="E171" s="1" t="s">
        <v>27</v>
      </c>
      <c r="F171" s="1">
        <v>11.09</v>
      </c>
      <c r="G171" s="1">
        <v>1.18</v>
      </c>
      <c r="H171" s="1">
        <v>9.91</v>
      </c>
      <c r="I171" s="1">
        <v>7.07</v>
      </c>
      <c r="J171" s="1">
        <v>1.0</v>
      </c>
      <c r="K171" s="1">
        <v>10.0</v>
      </c>
      <c r="L171" s="1">
        <v>44.2</v>
      </c>
      <c r="M171" s="1">
        <v>53.0</v>
      </c>
      <c r="N171" s="1">
        <v>5.5</v>
      </c>
      <c r="O171" s="1">
        <v>0.0</v>
      </c>
      <c r="P171" s="2">
        <f t="shared" si="1"/>
        <v>0</v>
      </c>
      <c r="Q171" s="1" t="str">
        <f t="shared" si="2"/>
        <v>High Leisure Screen</v>
      </c>
      <c r="R171" s="2" t="str">
        <f t="shared" si="3"/>
        <v>High Total Screen</v>
      </c>
      <c r="S171" s="2" t="str">
        <f t="shared" si="4"/>
        <v>Lower Exercise</v>
      </c>
      <c r="T171" s="2" t="str">
        <f t="shared" si="5"/>
        <v>Lower Social</v>
      </c>
      <c r="AA171" s="1">
        <v>1.18</v>
      </c>
      <c r="AB171" s="2">
        <f t="shared" si="6"/>
        <v>0.7793248768</v>
      </c>
    </row>
    <row r="172">
      <c r="A172" s="1" t="s">
        <v>239</v>
      </c>
      <c r="B172" s="1">
        <v>22.0</v>
      </c>
      <c r="C172" s="1" t="s">
        <v>16</v>
      </c>
      <c r="D172" s="1" t="s">
        <v>32</v>
      </c>
      <c r="E172" s="1" t="s">
        <v>27</v>
      </c>
      <c r="F172" s="1">
        <v>6.55</v>
      </c>
      <c r="G172" s="1">
        <v>0.33</v>
      </c>
      <c r="H172" s="1">
        <v>6.22</v>
      </c>
      <c r="I172" s="1">
        <v>7.75</v>
      </c>
      <c r="J172" s="1">
        <v>1.0</v>
      </c>
      <c r="K172" s="1">
        <v>8.7</v>
      </c>
      <c r="L172" s="1">
        <v>61.2</v>
      </c>
      <c r="M172" s="1">
        <v>0.0</v>
      </c>
      <c r="N172" s="1">
        <v>2.6</v>
      </c>
      <c r="O172" s="1">
        <v>19.9</v>
      </c>
      <c r="P172" s="2">
        <f t="shared" si="1"/>
        <v>0</v>
      </c>
      <c r="Q172" s="1" t="str">
        <f t="shared" si="2"/>
        <v>Low Leisure Screen</v>
      </c>
      <c r="R172" s="2" t="str">
        <f t="shared" si="3"/>
        <v>Low Total Screen</v>
      </c>
      <c r="S172" s="2" t="str">
        <f t="shared" si="4"/>
        <v/>
      </c>
      <c r="T172" s="2" t="str">
        <f t="shared" si="5"/>
        <v/>
      </c>
      <c r="AA172" s="1">
        <v>0.33</v>
      </c>
      <c r="AB172" s="2">
        <f t="shared" si="6"/>
        <v>0.2851789422</v>
      </c>
    </row>
    <row r="173">
      <c r="A173" s="1" t="s">
        <v>240</v>
      </c>
      <c r="B173" s="1">
        <v>23.0</v>
      </c>
      <c r="C173" s="1" t="s">
        <v>30</v>
      </c>
      <c r="D173" s="1" t="s">
        <v>32</v>
      </c>
      <c r="E173" s="1" t="s">
        <v>18</v>
      </c>
      <c r="F173" s="1">
        <v>10.33</v>
      </c>
      <c r="G173" s="1">
        <v>4.76</v>
      </c>
      <c r="H173" s="1">
        <v>5.57</v>
      </c>
      <c r="I173" s="1">
        <v>7.85</v>
      </c>
      <c r="J173" s="1">
        <v>1.0</v>
      </c>
      <c r="K173" s="1">
        <v>7.9</v>
      </c>
      <c r="L173" s="1">
        <v>57.9</v>
      </c>
      <c r="M173" s="1">
        <v>0.0</v>
      </c>
      <c r="N173" s="1">
        <v>5.2</v>
      </c>
      <c r="O173" s="1">
        <v>28.3</v>
      </c>
      <c r="P173" s="2">
        <f t="shared" si="1"/>
        <v>0</v>
      </c>
      <c r="Q173" s="1" t="str">
        <f t="shared" si="2"/>
        <v>Low Leisure Screen</v>
      </c>
      <c r="R173" s="2" t="str">
        <f t="shared" si="3"/>
        <v>High Total Screen</v>
      </c>
      <c r="S173" s="2" t="str">
        <f t="shared" si="4"/>
        <v>Lower Exercise</v>
      </c>
      <c r="T173" s="2" t="str">
        <f t="shared" si="5"/>
        <v>Lower Social</v>
      </c>
      <c r="AA173" s="1">
        <v>4.76</v>
      </c>
      <c r="AB173" s="2">
        <f t="shared" si="6"/>
        <v>1.750937475</v>
      </c>
    </row>
    <row r="174">
      <c r="A174" s="1" t="s">
        <v>241</v>
      </c>
      <c r="B174" s="1">
        <v>29.0</v>
      </c>
      <c r="C174" s="1" t="s">
        <v>16</v>
      </c>
      <c r="D174" s="1" t="s">
        <v>17</v>
      </c>
      <c r="E174" s="1" t="s">
        <v>27</v>
      </c>
      <c r="F174" s="1">
        <v>9.98</v>
      </c>
      <c r="G174" s="1">
        <v>1.34</v>
      </c>
      <c r="H174" s="1">
        <v>8.64</v>
      </c>
      <c r="I174" s="1">
        <v>6.83</v>
      </c>
      <c r="J174" s="1">
        <v>1.0</v>
      </c>
      <c r="K174" s="1">
        <v>10.0</v>
      </c>
      <c r="L174" s="1">
        <v>35.5</v>
      </c>
      <c r="M174" s="1">
        <v>224.0</v>
      </c>
      <c r="N174" s="1">
        <v>10.0</v>
      </c>
      <c r="O174" s="1">
        <v>8.3</v>
      </c>
      <c r="P174" s="2">
        <f t="shared" si="1"/>
        <v>0</v>
      </c>
      <c r="Q174" s="1" t="str">
        <f t="shared" si="2"/>
        <v>High Leisure Screen</v>
      </c>
      <c r="R174" s="2" t="str">
        <f t="shared" si="3"/>
        <v>High Total Screen</v>
      </c>
      <c r="S174" s="2" t="str">
        <f t="shared" si="4"/>
        <v>Higher Exercise</v>
      </c>
      <c r="T174" s="2" t="str">
        <f t="shared" si="5"/>
        <v>Higher Social</v>
      </c>
      <c r="AA174" s="1">
        <v>1.34</v>
      </c>
      <c r="AB174" s="2">
        <f t="shared" si="6"/>
        <v>0.8501509294</v>
      </c>
    </row>
    <row r="175">
      <c r="A175" s="1" t="s">
        <v>242</v>
      </c>
      <c r="B175" s="1">
        <v>32.0</v>
      </c>
      <c r="C175" s="1" t="s">
        <v>16</v>
      </c>
      <c r="D175" s="1" t="s">
        <v>17</v>
      </c>
      <c r="E175" s="1" t="s">
        <v>23</v>
      </c>
      <c r="F175" s="1">
        <v>7.99</v>
      </c>
      <c r="G175" s="1">
        <v>0.4</v>
      </c>
      <c r="H175" s="1">
        <v>7.59</v>
      </c>
      <c r="I175" s="1">
        <v>7.47</v>
      </c>
      <c r="J175" s="1">
        <v>1.0</v>
      </c>
      <c r="K175" s="1">
        <v>9.1</v>
      </c>
      <c r="L175" s="1">
        <v>57.4</v>
      </c>
      <c r="M175" s="1">
        <v>226.0</v>
      </c>
      <c r="N175" s="1">
        <v>9.6</v>
      </c>
      <c r="O175" s="1">
        <v>28.9</v>
      </c>
      <c r="P175" s="2">
        <f t="shared" si="1"/>
        <v>0</v>
      </c>
      <c r="Q175" s="1" t="str">
        <f t="shared" si="2"/>
        <v>High Leisure Screen</v>
      </c>
      <c r="R175" s="2" t="str">
        <f t="shared" si="3"/>
        <v>Low Total Screen</v>
      </c>
      <c r="S175" s="2" t="str">
        <f t="shared" si="4"/>
        <v/>
      </c>
      <c r="T175" s="2" t="str">
        <f t="shared" si="5"/>
        <v/>
      </c>
      <c r="AA175" s="1">
        <v>0.4</v>
      </c>
      <c r="AB175" s="2">
        <f t="shared" si="6"/>
        <v>0.3364722366</v>
      </c>
    </row>
    <row r="176">
      <c r="A176" s="1" t="s">
        <v>243</v>
      </c>
      <c r="B176" s="1">
        <v>32.0</v>
      </c>
      <c r="C176" s="1" t="s">
        <v>30</v>
      </c>
      <c r="D176" s="1" t="s">
        <v>32</v>
      </c>
      <c r="E176" s="1" t="s">
        <v>18</v>
      </c>
      <c r="F176" s="1">
        <v>11.22</v>
      </c>
      <c r="G176" s="1">
        <v>3.89</v>
      </c>
      <c r="H176" s="1">
        <v>7.33</v>
      </c>
      <c r="I176" s="1">
        <v>6.39</v>
      </c>
      <c r="J176" s="1">
        <v>1.0</v>
      </c>
      <c r="K176" s="1">
        <v>10.0</v>
      </c>
      <c r="L176" s="1">
        <v>39.3</v>
      </c>
      <c r="M176" s="1">
        <v>96.0</v>
      </c>
      <c r="N176" s="1">
        <v>7.2</v>
      </c>
      <c r="O176" s="1">
        <v>0.0</v>
      </c>
      <c r="P176" s="2">
        <f t="shared" si="1"/>
        <v>0</v>
      </c>
      <c r="Q176" s="1" t="str">
        <f t="shared" si="2"/>
        <v>High Leisure Screen</v>
      </c>
      <c r="R176" s="2" t="str">
        <f t="shared" si="3"/>
        <v>High Total Screen</v>
      </c>
      <c r="S176" s="2" t="str">
        <f t="shared" si="4"/>
        <v>Lower Exercise</v>
      </c>
      <c r="T176" s="2" t="str">
        <f t="shared" si="5"/>
        <v>Lower Social</v>
      </c>
      <c r="AA176" s="1">
        <v>3.89</v>
      </c>
      <c r="AB176" s="2">
        <f t="shared" si="6"/>
        <v>1.587192303</v>
      </c>
    </row>
    <row r="177">
      <c r="A177" s="1" t="s">
        <v>244</v>
      </c>
      <c r="B177" s="1">
        <v>36.0</v>
      </c>
      <c r="C177" s="1" t="s">
        <v>16</v>
      </c>
      <c r="D177" s="1" t="s">
        <v>43</v>
      </c>
      <c r="E177" s="1" t="s">
        <v>27</v>
      </c>
      <c r="F177" s="1">
        <v>4.1</v>
      </c>
      <c r="G177" s="1">
        <v>0.21</v>
      </c>
      <c r="H177" s="1">
        <v>3.89</v>
      </c>
      <c r="I177" s="1">
        <v>7.99</v>
      </c>
      <c r="J177" s="1">
        <v>1.0</v>
      </c>
      <c r="K177" s="1">
        <v>4.1</v>
      </c>
      <c r="L177" s="1">
        <v>79.1</v>
      </c>
      <c r="M177" s="1">
        <v>253.0</v>
      </c>
      <c r="N177" s="1">
        <v>7.8</v>
      </c>
      <c r="O177" s="1">
        <v>45.3</v>
      </c>
      <c r="P177" s="2">
        <f t="shared" si="1"/>
        <v>0</v>
      </c>
      <c r="Q177" s="1" t="str">
        <f t="shared" si="2"/>
        <v>Low Leisure Screen</v>
      </c>
      <c r="R177" s="2" t="str">
        <f t="shared" si="3"/>
        <v>Low Total Screen</v>
      </c>
      <c r="S177" s="2" t="str">
        <f t="shared" si="4"/>
        <v/>
      </c>
      <c r="T177" s="2" t="str">
        <f t="shared" si="5"/>
        <v/>
      </c>
      <c r="AA177" s="1">
        <v>0.21</v>
      </c>
      <c r="AB177" s="2">
        <f t="shared" si="6"/>
        <v>0.1906203596</v>
      </c>
    </row>
    <row r="178">
      <c r="A178" s="1" t="s">
        <v>245</v>
      </c>
      <c r="B178" s="1">
        <v>30.0</v>
      </c>
      <c r="C178" s="1" t="s">
        <v>16</v>
      </c>
      <c r="D178" s="1" t="s">
        <v>35</v>
      </c>
      <c r="E178" s="1" t="s">
        <v>18</v>
      </c>
      <c r="F178" s="1">
        <v>10.48</v>
      </c>
      <c r="G178" s="1">
        <v>5.65</v>
      </c>
      <c r="H178" s="1">
        <v>4.83</v>
      </c>
      <c r="I178" s="1">
        <v>7.18</v>
      </c>
      <c r="J178" s="1">
        <v>1.0</v>
      </c>
      <c r="K178" s="1">
        <v>10.0</v>
      </c>
      <c r="L178" s="1">
        <v>36.8</v>
      </c>
      <c r="M178" s="1">
        <v>84.0</v>
      </c>
      <c r="N178" s="1">
        <v>23.9</v>
      </c>
      <c r="O178" s="1">
        <v>0.0</v>
      </c>
      <c r="P178" s="2">
        <f t="shared" si="1"/>
        <v>0</v>
      </c>
      <c r="Q178" s="1" t="str">
        <f t="shared" si="2"/>
        <v>Low Leisure Screen</v>
      </c>
      <c r="R178" s="2" t="str">
        <f t="shared" si="3"/>
        <v>High Total Screen</v>
      </c>
      <c r="S178" s="2" t="str">
        <f t="shared" si="4"/>
        <v>Lower Exercise</v>
      </c>
      <c r="T178" s="2" t="str">
        <f t="shared" si="5"/>
        <v>Higher Social</v>
      </c>
      <c r="AA178" s="1">
        <v>5.65</v>
      </c>
      <c r="AB178" s="2">
        <f t="shared" si="6"/>
        <v>1.894616855</v>
      </c>
    </row>
    <row r="179">
      <c r="A179" s="1" t="s">
        <v>246</v>
      </c>
      <c r="B179" s="1">
        <v>41.0</v>
      </c>
      <c r="C179" s="1" t="s">
        <v>16</v>
      </c>
      <c r="D179" s="1" t="s">
        <v>43</v>
      </c>
      <c r="E179" s="1" t="s">
        <v>18</v>
      </c>
      <c r="F179" s="1">
        <v>8.57</v>
      </c>
      <c r="G179" s="1">
        <v>1.57</v>
      </c>
      <c r="H179" s="1">
        <v>7.0</v>
      </c>
      <c r="I179" s="1">
        <v>7.15</v>
      </c>
      <c r="J179" s="1">
        <v>1.0</v>
      </c>
      <c r="K179" s="1">
        <v>8.3</v>
      </c>
      <c r="L179" s="1">
        <v>52.8</v>
      </c>
      <c r="M179" s="1">
        <v>95.0</v>
      </c>
      <c r="N179" s="1">
        <v>10.7</v>
      </c>
      <c r="O179" s="1">
        <v>17.4</v>
      </c>
      <c r="P179" s="2">
        <f t="shared" si="1"/>
        <v>0</v>
      </c>
      <c r="Q179" s="1" t="str">
        <f t="shared" si="2"/>
        <v>High Leisure Screen</v>
      </c>
      <c r="R179" s="2" t="str">
        <f t="shared" si="3"/>
        <v>Low Total Screen</v>
      </c>
      <c r="S179" s="2" t="str">
        <f t="shared" si="4"/>
        <v/>
      </c>
      <c r="T179" s="2" t="str">
        <f t="shared" si="5"/>
        <v/>
      </c>
      <c r="AA179" s="1">
        <v>1.57</v>
      </c>
      <c r="AB179" s="2">
        <f t="shared" si="6"/>
        <v>0.9439058989</v>
      </c>
    </row>
    <row r="180">
      <c r="A180" s="1" t="s">
        <v>247</v>
      </c>
      <c r="B180" s="1">
        <v>27.0</v>
      </c>
      <c r="C180" s="1" t="s">
        <v>16</v>
      </c>
      <c r="D180" s="1" t="s">
        <v>37</v>
      </c>
      <c r="E180" s="1" t="s">
        <v>18</v>
      </c>
      <c r="F180" s="1">
        <v>8.16</v>
      </c>
      <c r="G180" s="1">
        <v>2.48</v>
      </c>
      <c r="H180" s="1">
        <v>5.68</v>
      </c>
      <c r="I180" s="1">
        <v>5.7</v>
      </c>
      <c r="J180" s="1">
        <v>1.0</v>
      </c>
      <c r="K180" s="1">
        <v>6.3</v>
      </c>
      <c r="L180" s="1">
        <v>62.4</v>
      </c>
      <c r="M180" s="1">
        <v>111.0</v>
      </c>
      <c r="N180" s="1">
        <v>11.1</v>
      </c>
      <c r="O180" s="1">
        <v>30.0</v>
      </c>
      <c r="P180" s="2">
        <f t="shared" si="1"/>
        <v>0</v>
      </c>
      <c r="Q180" s="1" t="str">
        <f t="shared" si="2"/>
        <v>Low Leisure Screen</v>
      </c>
      <c r="R180" s="2" t="str">
        <f t="shared" si="3"/>
        <v>Low Total Screen</v>
      </c>
      <c r="S180" s="2" t="str">
        <f t="shared" si="4"/>
        <v/>
      </c>
      <c r="T180" s="2" t="str">
        <f t="shared" si="5"/>
        <v/>
      </c>
      <c r="AA180" s="1">
        <v>2.48</v>
      </c>
      <c r="AB180" s="2">
        <f t="shared" si="6"/>
        <v>1.247032294</v>
      </c>
    </row>
    <row r="181">
      <c r="A181" s="1" t="s">
        <v>248</v>
      </c>
      <c r="B181" s="1">
        <v>51.0</v>
      </c>
      <c r="C181" s="1" t="s">
        <v>34</v>
      </c>
      <c r="D181" s="1" t="s">
        <v>32</v>
      </c>
      <c r="E181" s="1" t="s">
        <v>18</v>
      </c>
      <c r="F181" s="1">
        <v>16.36</v>
      </c>
      <c r="G181" s="1">
        <v>3.01</v>
      </c>
      <c r="H181" s="1">
        <v>13.35</v>
      </c>
      <c r="I181" s="1">
        <v>6.42</v>
      </c>
      <c r="J181" s="1">
        <v>1.0</v>
      </c>
      <c r="K181" s="1">
        <v>10.0</v>
      </c>
      <c r="L181" s="1">
        <v>24.6</v>
      </c>
      <c r="M181" s="1">
        <v>62.0</v>
      </c>
      <c r="N181" s="1">
        <v>5.5</v>
      </c>
      <c r="O181" s="1">
        <v>0.0</v>
      </c>
      <c r="P181" s="2">
        <f t="shared" si="1"/>
        <v>0</v>
      </c>
      <c r="Q181" s="1" t="str">
        <f t="shared" si="2"/>
        <v>High Leisure Screen</v>
      </c>
      <c r="R181" s="2" t="str">
        <f t="shared" si="3"/>
        <v>High Total Screen</v>
      </c>
      <c r="S181" s="2" t="str">
        <f t="shared" si="4"/>
        <v>Lower Exercise</v>
      </c>
      <c r="T181" s="2" t="str">
        <f t="shared" si="5"/>
        <v>Lower Social</v>
      </c>
      <c r="AA181" s="1">
        <v>3.01</v>
      </c>
      <c r="AB181" s="2">
        <f t="shared" si="6"/>
        <v>1.388791241</v>
      </c>
    </row>
    <row r="182">
      <c r="A182" s="1" t="s">
        <v>249</v>
      </c>
      <c r="B182" s="1">
        <v>35.0</v>
      </c>
      <c r="C182" s="1" t="s">
        <v>16</v>
      </c>
      <c r="D182" s="1" t="s">
        <v>17</v>
      </c>
      <c r="E182" s="1" t="s">
        <v>27</v>
      </c>
      <c r="F182" s="1">
        <v>4.56</v>
      </c>
      <c r="G182" s="1">
        <v>0.57</v>
      </c>
      <c r="H182" s="1">
        <v>3.99</v>
      </c>
      <c r="I182" s="1">
        <v>8.06</v>
      </c>
      <c r="J182" s="1">
        <v>2.0</v>
      </c>
      <c r="K182" s="1">
        <v>6.3</v>
      </c>
      <c r="L182" s="1">
        <v>75.6</v>
      </c>
      <c r="M182" s="1">
        <v>118.0</v>
      </c>
      <c r="N182" s="1">
        <v>9.6</v>
      </c>
      <c r="O182" s="1">
        <v>47.3</v>
      </c>
      <c r="P182" s="2">
        <f t="shared" si="1"/>
        <v>0</v>
      </c>
      <c r="Q182" s="1" t="str">
        <f t="shared" si="2"/>
        <v>Low Leisure Screen</v>
      </c>
      <c r="R182" s="2" t="str">
        <f t="shared" si="3"/>
        <v>Low Total Screen</v>
      </c>
      <c r="S182" s="2" t="str">
        <f t="shared" si="4"/>
        <v/>
      </c>
      <c r="T182" s="2" t="str">
        <f t="shared" si="5"/>
        <v/>
      </c>
      <c r="AA182" s="1">
        <v>0.57</v>
      </c>
      <c r="AB182" s="2">
        <f t="shared" si="6"/>
        <v>0.4510756194</v>
      </c>
    </row>
    <row r="183">
      <c r="A183" s="1" t="s">
        <v>250</v>
      </c>
      <c r="B183" s="1">
        <v>23.0</v>
      </c>
      <c r="C183" s="1" t="s">
        <v>30</v>
      </c>
      <c r="D183" s="1" t="s">
        <v>17</v>
      </c>
      <c r="E183" s="1" t="s">
        <v>27</v>
      </c>
      <c r="F183" s="1">
        <v>9.88</v>
      </c>
      <c r="G183" s="1">
        <v>1.74</v>
      </c>
      <c r="H183" s="1">
        <v>8.14</v>
      </c>
      <c r="I183" s="1">
        <v>6.3</v>
      </c>
      <c r="J183" s="1">
        <v>1.0</v>
      </c>
      <c r="K183" s="1">
        <v>10.0</v>
      </c>
      <c r="L183" s="1">
        <v>51.3</v>
      </c>
      <c r="M183" s="1">
        <v>175.0</v>
      </c>
      <c r="N183" s="1">
        <v>10.6</v>
      </c>
      <c r="O183" s="1">
        <v>15.0</v>
      </c>
      <c r="P183" s="2">
        <f t="shared" si="1"/>
        <v>0</v>
      </c>
      <c r="Q183" s="1" t="str">
        <f t="shared" si="2"/>
        <v>High Leisure Screen</v>
      </c>
      <c r="R183" s="2" t="str">
        <f t="shared" si="3"/>
        <v>High Total Screen</v>
      </c>
      <c r="S183" s="2" t="str">
        <f t="shared" si="4"/>
        <v>Higher Exercise</v>
      </c>
      <c r="T183" s="2" t="str">
        <f t="shared" si="5"/>
        <v>Higher Social</v>
      </c>
      <c r="AA183" s="1">
        <v>1.74</v>
      </c>
      <c r="AB183" s="2">
        <f t="shared" si="6"/>
        <v>1.00795792</v>
      </c>
    </row>
    <row r="184">
      <c r="A184" s="1" t="s">
        <v>251</v>
      </c>
      <c r="B184" s="1">
        <v>21.0</v>
      </c>
      <c r="C184" s="1" t="s">
        <v>16</v>
      </c>
      <c r="D184" s="1" t="s">
        <v>17</v>
      </c>
      <c r="E184" s="1" t="s">
        <v>27</v>
      </c>
      <c r="F184" s="1">
        <v>7.35</v>
      </c>
      <c r="G184" s="1">
        <v>0.94</v>
      </c>
      <c r="H184" s="1">
        <v>6.41</v>
      </c>
      <c r="I184" s="1">
        <v>6.18</v>
      </c>
      <c r="J184" s="1">
        <v>1.0</v>
      </c>
      <c r="K184" s="1">
        <v>8.0</v>
      </c>
      <c r="L184" s="1">
        <v>53.9</v>
      </c>
      <c r="M184" s="1">
        <v>120.0</v>
      </c>
      <c r="N184" s="1">
        <v>10.2</v>
      </c>
      <c r="O184" s="1">
        <v>8.2</v>
      </c>
      <c r="P184" s="2">
        <f t="shared" si="1"/>
        <v>0</v>
      </c>
      <c r="Q184" s="1" t="str">
        <f t="shared" si="2"/>
        <v>Low Leisure Screen</v>
      </c>
      <c r="R184" s="2" t="str">
        <f t="shared" si="3"/>
        <v>Low Total Screen</v>
      </c>
      <c r="S184" s="2" t="str">
        <f t="shared" si="4"/>
        <v/>
      </c>
      <c r="T184" s="2" t="str">
        <f t="shared" si="5"/>
        <v/>
      </c>
      <c r="AA184" s="1">
        <v>0.94</v>
      </c>
      <c r="AB184" s="2">
        <f t="shared" si="6"/>
        <v>0.6626879731</v>
      </c>
    </row>
    <row r="185">
      <c r="A185" s="1" t="s">
        <v>252</v>
      </c>
      <c r="B185" s="1">
        <v>33.0</v>
      </c>
      <c r="C185" s="1" t="s">
        <v>30</v>
      </c>
      <c r="D185" s="1" t="s">
        <v>32</v>
      </c>
      <c r="E185" s="1" t="s">
        <v>23</v>
      </c>
      <c r="F185" s="1">
        <v>6.92</v>
      </c>
      <c r="G185" s="1">
        <v>0.5</v>
      </c>
      <c r="H185" s="1">
        <v>6.42</v>
      </c>
      <c r="I185" s="1">
        <v>8.57</v>
      </c>
      <c r="J185" s="1">
        <v>2.0</v>
      </c>
      <c r="K185" s="1">
        <v>5.7</v>
      </c>
      <c r="L185" s="1">
        <v>79.0</v>
      </c>
      <c r="M185" s="1">
        <v>168.0</v>
      </c>
      <c r="N185" s="1">
        <v>0.0</v>
      </c>
      <c r="O185" s="1">
        <v>44.5</v>
      </c>
      <c r="P185" s="2">
        <f t="shared" si="1"/>
        <v>0</v>
      </c>
      <c r="Q185" s="1" t="str">
        <f t="shared" si="2"/>
        <v>Low Leisure Screen</v>
      </c>
      <c r="R185" s="2" t="str">
        <f t="shared" si="3"/>
        <v>Low Total Screen</v>
      </c>
      <c r="S185" s="2" t="str">
        <f t="shared" si="4"/>
        <v/>
      </c>
      <c r="T185" s="2" t="str">
        <f t="shared" si="5"/>
        <v/>
      </c>
      <c r="AA185" s="1">
        <v>0.5</v>
      </c>
      <c r="AB185" s="2">
        <f t="shared" si="6"/>
        <v>0.4054651081</v>
      </c>
    </row>
    <row r="186">
      <c r="A186" s="1" t="s">
        <v>253</v>
      </c>
      <c r="B186" s="1">
        <v>28.0</v>
      </c>
      <c r="C186" s="1" t="s">
        <v>30</v>
      </c>
      <c r="D186" s="1" t="s">
        <v>35</v>
      </c>
      <c r="E186" s="1" t="s">
        <v>23</v>
      </c>
      <c r="F186" s="1">
        <v>7.05</v>
      </c>
      <c r="G186" s="1">
        <v>0.35</v>
      </c>
      <c r="H186" s="1">
        <v>6.7</v>
      </c>
      <c r="I186" s="1">
        <v>7.72</v>
      </c>
      <c r="J186" s="1">
        <v>1.0</v>
      </c>
      <c r="K186" s="1">
        <v>6.8</v>
      </c>
      <c r="L186" s="1">
        <v>59.1</v>
      </c>
      <c r="M186" s="1">
        <v>187.0</v>
      </c>
      <c r="N186" s="1">
        <v>0.0</v>
      </c>
      <c r="O186" s="1">
        <v>32.0</v>
      </c>
      <c r="P186" s="2">
        <f t="shared" si="1"/>
        <v>0</v>
      </c>
      <c r="Q186" s="1" t="str">
        <f t="shared" si="2"/>
        <v>Low Leisure Screen</v>
      </c>
      <c r="R186" s="2" t="str">
        <f t="shared" si="3"/>
        <v>Low Total Screen</v>
      </c>
      <c r="S186" s="2" t="str">
        <f t="shared" si="4"/>
        <v/>
      </c>
      <c r="T186" s="2" t="str">
        <f t="shared" si="5"/>
        <v/>
      </c>
      <c r="AA186" s="1">
        <v>0.35</v>
      </c>
      <c r="AB186" s="2">
        <f t="shared" si="6"/>
        <v>0.3001045925</v>
      </c>
    </row>
    <row r="187">
      <c r="A187" s="1" t="s">
        <v>254</v>
      </c>
      <c r="B187" s="1">
        <v>35.0</v>
      </c>
      <c r="C187" s="1" t="s">
        <v>30</v>
      </c>
      <c r="D187" s="1" t="s">
        <v>32</v>
      </c>
      <c r="E187" s="1" t="s">
        <v>27</v>
      </c>
      <c r="F187" s="1">
        <v>12.92</v>
      </c>
      <c r="G187" s="1">
        <v>2.51</v>
      </c>
      <c r="H187" s="1">
        <v>10.41</v>
      </c>
      <c r="I187" s="1">
        <v>6.33</v>
      </c>
      <c r="J187" s="1">
        <v>1.0</v>
      </c>
      <c r="K187" s="1">
        <v>10.0</v>
      </c>
      <c r="L187" s="1">
        <v>43.7</v>
      </c>
      <c r="M187" s="1">
        <v>110.0</v>
      </c>
      <c r="N187" s="1">
        <v>1.8</v>
      </c>
      <c r="O187" s="1">
        <v>0.2</v>
      </c>
      <c r="P187" s="2">
        <f t="shared" si="1"/>
        <v>0</v>
      </c>
      <c r="Q187" s="1" t="str">
        <f t="shared" si="2"/>
        <v>High Leisure Screen</v>
      </c>
      <c r="R187" s="2" t="str">
        <f t="shared" si="3"/>
        <v>High Total Screen</v>
      </c>
      <c r="S187" s="2" t="str">
        <f t="shared" si="4"/>
        <v>Higher Exercise</v>
      </c>
      <c r="T187" s="2" t="str">
        <f t="shared" si="5"/>
        <v>Lower Social</v>
      </c>
      <c r="AA187" s="1">
        <v>2.51</v>
      </c>
      <c r="AB187" s="2">
        <f t="shared" si="6"/>
        <v>1.255616037</v>
      </c>
    </row>
    <row r="188">
      <c r="A188" s="1" t="s">
        <v>255</v>
      </c>
      <c r="B188" s="1">
        <v>33.0</v>
      </c>
      <c r="C188" s="1" t="s">
        <v>16</v>
      </c>
      <c r="D188" s="1" t="s">
        <v>32</v>
      </c>
      <c r="E188" s="1" t="s">
        <v>23</v>
      </c>
      <c r="F188" s="1">
        <v>11.06</v>
      </c>
      <c r="G188" s="1">
        <v>2.88</v>
      </c>
      <c r="H188" s="1">
        <v>8.18</v>
      </c>
      <c r="I188" s="1">
        <v>5.86</v>
      </c>
      <c r="J188" s="1">
        <v>1.0</v>
      </c>
      <c r="K188" s="1">
        <v>10.0</v>
      </c>
      <c r="L188" s="1">
        <v>28.1</v>
      </c>
      <c r="M188" s="1">
        <v>25.0</v>
      </c>
      <c r="N188" s="1">
        <v>7.4</v>
      </c>
      <c r="O188" s="1">
        <v>0.0</v>
      </c>
      <c r="P188" s="2">
        <f t="shared" si="1"/>
        <v>0</v>
      </c>
      <c r="Q188" s="1" t="str">
        <f t="shared" si="2"/>
        <v>High Leisure Screen</v>
      </c>
      <c r="R188" s="2" t="str">
        <f t="shared" si="3"/>
        <v>High Total Screen</v>
      </c>
      <c r="S188" s="2" t="str">
        <f t="shared" si="4"/>
        <v>Lower Exercise</v>
      </c>
      <c r="T188" s="2" t="str">
        <f t="shared" si="5"/>
        <v>Lower Social</v>
      </c>
      <c r="AA188" s="1">
        <v>2.88</v>
      </c>
      <c r="AB188" s="2">
        <f t="shared" si="6"/>
        <v>1.355835154</v>
      </c>
    </row>
    <row r="189">
      <c r="A189" s="1" t="s">
        <v>256</v>
      </c>
      <c r="B189" s="1">
        <v>29.0</v>
      </c>
      <c r="C189" s="1" t="s">
        <v>16</v>
      </c>
      <c r="D189" s="1" t="s">
        <v>17</v>
      </c>
      <c r="E189" s="1" t="s">
        <v>18</v>
      </c>
      <c r="F189" s="1">
        <v>10.75</v>
      </c>
      <c r="G189" s="1">
        <v>6.43</v>
      </c>
      <c r="H189" s="1">
        <v>4.32</v>
      </c>
      <c r="I189" s="1">
        <v>6.12</v>
      </c>
      <c r="J189" s="1">
        <v>1.0</v>
      </c>
      <c r="K189" s="1">
        <v>7.4</v>
      </c>
      <c r="L189" s="1">
        <v>66.8</v>
      </c>
      <c r="M189" s="1">
        <v>0.0</v>
      </c>
      <c r="N189" s="1">
        <v>7.8</v>
      </c>
      <c r="O189" s="1">
        <v>28.6</v>
      </c>
      <c r="P189" s="2">
        <f t="shared" si="1"/>
        <v>0</v>
      </c>
      <c r="Q189" s="1" t="str">
        <f t="shared" si="2"/>
        <v>Low Leisure Screen</v>
      </c>
      <c r="R189" s="2" t="str">
        <f t="shared" si="3"/>
        <v>High Total Screen</v>
      </c>
      <c r="S189" s="2" t="str">
        <f t="shared" si="4"/>
        <v>Lower Exercise</v>
      </c>
      <c r="T189" s="2" t="str">
        <f t="shared" si="5"/>
        <v>Higher Social</v>
      </c>
      <c r="AA189" s="1">
        <v>6.43</v>
      </c>
      <c r="AB189" s="2">
        <f t="shared" si="6"/>
        <v>2.005525859</v>
      </c>
    </row>
    <row r="190">
      <c r="A190" s="1" t="s">
        <v>257</v>
      </c>
      <c r="B190" s="1">
        <v>23.0</v>
      </c>
      <c r="C190" s="1" t="s">
        <v>16</v>
      </c>
      <c r="D190" s="1" t="s">
        <v>17</v>
      </c>
      <c r="E190" s="1" t="s">
        <v>18</v>
      </c>
      <c r="F190" s="1">
        <v>12.27</v>
      </c>
      <c r="G190" s="1">
        <v>6.71</v>
      </c>
      <c r="H190" s="1">
        <v>5.56</v>
      </c>
      <c r="I190" s="1">
        <v>7.53</v>
      </c>
      <c r="J190" s="1">
        <v>1.0</v>
      </c>
      <c r="K190" s="1">
        <v>10.0</v>
      </c>
      <c r="L190" s="1">
        <v>48.6</v>
      </c>
      <c r="M190" s="1">
        <v>91.0</v>
      </c>
      <c r="N190" s="1">
        <v>12.5</v>
      </c>
      <c r="O190" s="1">
        <v>0.0</v>
      </c>
      <c r="P190" s="2">
        <f t="shared" si="1"/>
        <v>0</v>
      </c>
      <c r="Q190" s="1" t="str">
        <f t="shared" si="2"/>
        <v>Low Leisure Screen</v>
      </c>
      <c r="R190" s="2" t="str">
        <f t="shared" si="3"/>
        <v>High Total Screen</v>
      </c>
      <c r="S190" s="2" t="str">
        <f t="shared" si="4"/>
        <v>Lower Exercise</v>
      </c>
      <c r="T190" s="2" t="str">
        <f t="shared" si="5"/>
        <v>Higher Social</v>
      </c>
      <c r="AA190" s="1">
        <v>6.71</v>
      </c>
      <c r="AB190" s="2">
        <f t="shared" si="6"/>
        <v>2.042518188</v>
      </c>
    </row>
    <row r="191">
      <c r="A191" s="1" t="s">
        <v>258</v>
      </c>
      <c r="B191" s="1">
        <v>17.0</v>
      </c>
      <c r="C191" s="1" t="s">
        <v>30</v>
      </c>
      <c r="D191" s="1" t="s">
        <v>17</v>
      </c>
      <c r="E191" s="1" t="s">
        <v>18</v>
      </c>
      <c r="F191" s="1">
        <v>13.51</v>
      </c>
      <c r="G191" s="1">
        <v>2.03</v>
      </c>
      <c r="H191" s="1">
        <v>11.48</v>
      </c>
      <c r="I191" s="1">
        <v>6.35</v>
      </c>
      <c r="J191" s="1">
        <v>1.0</v>
      </c>
      <c r="K191" s="1">
        <v>10.0</v>
      </c>
      <c r="L191" s="1">
        <v>36.0</v>
      </c>
      <c r="M191" s="1">
        <v>58.0</v>
      </c>
      <c r="N191" s="1">
        <v>0.0</v>
      </c>
      <c r="O191" s="1">
        <v>0.0</v>
      </c>
      <c r="P191" s="2">
        <f t="shared" si="1"/>
        <v>0</v>
      </c>
      <c r="Q191" s="1" t="str">
        <f t="shared" si="2"/>
        <v>High Leisure Screen</v>
      </c>
      <c r="R191" s="2" t="str">
        <f t="shared" si="3"/>
        <v>High Total Screen</v>
      </c>
      <c r="S191" s="2" t="str">
        <f t="shared" si="4"/>
        <v>Lower Exercise</v>
      </c>
      <c r="T191" s="2" t="str">
        <f t="shared" si="5"/>
        <v>Lower Social</v>
      </c>
      <c r="AA191" s="1">
        <v>2.03</v>
      </c>
      <c r="AB191" s="2">
        <f t="shared" si="6"/>
        <v>1.10856262</v>
      </c>
    </row>
    <row r="192">
      <c r="A192" s="1" t="s">
        <v>259</v>
      </c>
      <c r="B192" s="1">
        <v>26.0</v>
      </c>
      <c r="C192" s="1" t="s">
        <v>30</v>
      </c>
      <c r="D192" s="1" t="s">
        <v>32</v>
      </c>
      <c r="E192" s="1" t="s">
        <v>27</v>
      </c>
      <c r="F192" s="1">
        <v>10.19</v>
      </c>
      <c r="G192" s="1">
        <v>0.84</v>
      </c>
      <c r="H192" s="1">
        <v>9.35</v>
      </c>
      <c r="I192" s="1">
        <v>6.39</v>
      </c>
      <c r="J192" s="1">
        <v>1.0</v>
      </c>
      <c r="K192" s="1">
        <v>10.0</v>
      </c>
      <c r="L192" s="1">
        <v>30.9</v>
      </c>
      <c r="M192" s="1">
        <v>101.0</v>
      </c>
      <c r="N192" s="1">
        <v>3.4</v>
      </c>
      <c r="O192" s="1">
        <v>0.0</v>
      </c>
      <c r="P192" s="2">
        <f t="shared" si="1"/>
        <v>0</v>
      </c>
      <c r="Q192" s="1" t="str">
        <f t="shared" si="2"/>
        <v>High Leisure Screen</v>
      </c>
      <c r="R192" s="2" t="str">
        <f t="shared" si="3"/>
        <v>High Total Screen</v>
      </c>
      <c r="S192" s="2" t="str">
        <f t="shared" si="4"/>
        <v>Lower Exercise</v>
      </c>
      <c r="T192" s="2" t="str">
        <f t="shared" si="5"/>
        <v>Lower Social</v>
      </c>
      <c r="AA192" s="1">
        <v>0.84</v>
      </c>
      <c r="AB192" s="2">
        <f t="shared" si="6"/>
        <v>0.6097655716</v>
      </c>
    </row>
    <row r="193">
      <c r="A193" s="1" t="s">
        <v>260</v>
      </c>
      <c r="B193" s="1">
        <v>36.0</v>
      </c>
      <c r="C193" s="1" t="s">
        <v>30</v>
      </c>
      <c r="D193" s="1" t="s">
        <v>35</v>
      </c>
      <c r="E193" s="1" t="s">
        <v>23</v>
      </c>
      <c r="F193" s="1">
        <v>7.02</v>
      </c>
      <c r="G193" s="1">
        <v>0.71</v>
      </c>
      <c r="H193" s="1">
        <v>6.31</v>
      </c>
      <c r="I193" s="1">
        <v>7.81</v>
      </c>
      <c r="J193" s="1">
        <v>2.0</v>
      </c>
      <c r="K193" s="1">
        <v>6.4</v>
      </c>
      <c r="L193" s="1">
        <v>69.6</v>
      </c>
      <c r="M193" s="1">
        <v>118.0</v>
      </c>
      <c r="N193" s="1">
        <v>15.6</v>
      </c>
      <c r="O193" s="1">
        <v>36.1</v>
      </c>
      <c r="P193" s="2">
        <f t="shared" si="1"/>
        <v>0</v>
      </c>
      <c r="Q193" s="1" t="str">
        <f t="shared" si="2"/>
        <v>Low Leisure Screen</v>
      </c>
      <c r="R193" s="2" t="str">
        <f t="shared" si="3"/>
        <v>Low Total Screen</v>
      </c>
      <c r="S193" s="2" t="str">
        <f t="shared" si="4"/>
        <v/>
      </c>
      <c r="T193" s="2" t="str">
        <f t="shared" si="5"/>
        <v/>
      </c>
      <c r="AA193" s="1">
        <v>0.71</v>
      </c>
      <c r="AB193" s="2">
        <f t="shared" si="6"/>
        <v>0.5364933705</v>
      </c>
    </row>
    <row r="194">
      <c r="A194" s="1" t="s">
        <v>261</v>
      </c>
      <c r="B194" s="1">
        <v>31.0</v>
      </c>
      <c r="C194" s="1" t="s">
        <v>16</v>
      </c>
      <c r="D194" s="1" t="s">
        <v>17</v>
      </c>
      <c r="E194" s="1" t="s">
        <v>18</v>
      </c>
      <c r="F194" s="1">
        <v>7.34</v>
      </c>
      <c r="G194" s="1">
        <v>2.24</v>
      </c>
      <c r="H194" s="1">
        <v>5.1</v>
      </c>
      <c r="I194" s="1">
        <v>6.66</v>
      </c>
      <c r="J194" s="1">
        <v>1.0</v>
      </c>
      <c r="K194" s="1">
        <v>9.1</v>
      </c>
      <c r="L194" s="1">
        <v>41.9</v>
      </c>
      <c r="M194" s="1">
        <v>295.0</v>
      </c>
      <c r="N194" s="1">
        <v>9.4</v>
      </c>
      <c r="O194" s="1">
        <v>16.1</v>
      </c>
      <c r="P194" s="2">
        <f t="shared" si="1"/>
        <v>0</v>
      </c>
      <c r="Q194" s="1" t="str">
        <f t="shared" si="2"/>
        <v>Low Leisure Screen</v>
      </c>
      <c r="R194" s="2" t="str">
        <f t="shared" si="3"/>
        <v>Low Total Screen</v>
      </c>
      <c r="S194" s="2" t="str">
        <f t="shared" si="4"/>
        <v/>
      </c>
      <c r="T194" s="2" t="str">
        <f t="shared" si="5"/>
        <v/>
      </c>
      <c r="AA194" s="1">
        <v>2.24</v>
      </c>
      <c r="AB194" s="2">
        <f t="shared" si="6"/>
        <v>1.17557333</v>
      </c>
    </row>
    <row r="195">
      <c r="A195" s="1" t="s">
        <v>262</v>
      </c>
      <c r="B195" s="1">
        <v>20.0</v>
      </c>
      <c r="C195" s="1" t="s">
        <v>30</v>
      </c>
      <c r="D195" s="1" t="s">
        <v>32</v>
      </c>
      <c r="E195" s="1" t="s">
        <v>23</v>
      </c>
      <c r="F195" s="1">
        <v>10.4</v>
      </c>
      <c r="G195" s="1">
        <v>0.54</v>
      </c>
      <c r="H195" s="1">
        <v>9.86</v>
      </c>
      <c r="I195" s="1">
        <v>7.94</v>
      </c>
      <c r="J195" s="1">
        <v>1.0</v>
      </c>
      <c r="K195" s="1">
        <v>10.0</v>
      </c>
      <c r="L195" s="1">
        <v>45.1</v>
      </c>
      <c r="M195" s="1">
        <v>0.0</v>
      </c>
      <c r="N195" s="1">
        <v>10.7</v>
      </c>
      <c r="O195" s="1">
        <v>0.0</v>
      </c>
      <c r="P195" s="2">
        <f t="shared" si="1"/>
        <v>0</v>
      </c>
      <c r="Q195" s="1" t="str">
        <f t="shared" si="2"/>
        <v>High Leisure Screen</v>
      </c>
      <c r="R195" s="2" t="str">
        <f t="shared" si="3"/>
        <v>High Total Screen</v>
      </c>
      <c r="S195" s="2" t="str">
        <f t="shared" si="4"/>
        <v>Lower Exercise</v>
      </c>
      <c r="T195" s="2" t="str">
        <f t="shared" si="5"/>
        <v>Higher Social</v>
      </c>
      <c r="AA195" s="1">
        <v>0.54</v>
      </c>
      <c r="AB195" s="2">
        <f t="shared" si="6"/>
        <v>0.4317824164</v>
      </c>
    </row>
    <row r="196">
      <c r="A196" s="1" t="s">
        <v>263</v>
      </c>
      <c r="B196" s="1">
        <v>31.0</v>
      </c>
      <c r="C196" s="1" t="s">
        <v>30</v>
      </c>
      <c r="D196" s="1" t="s">
        <v>35</v>
      </c>
      <c r="E196" s="1" t="s">
        <v>18</v>
      </c>
      <c r="F196" s="1">
        <v>10.82</v>
      </c>
      <c r="G196" s="1">
        <v>4.01</v>
      </c>
      <c r="H196" s="1">
        <v>6.81</v>
      </c>
      <c r="I196" s="1">
        <v>7.87</v>
      </c>
      <c r="J196" s="1">
        <v>2.0</v>
      </c>
      <c r="K196" s="1">
        <v>10.0</v>
      </c>
      <c r="L196" s="1">
        <v>50.2</v>
      </c>
      <c r="M196" s="1">
        <v>0.0</v>
      </c>
      <c r="N196" s="1">
        <v>16.3</v>
      </c>
      <c r="O196" s="1">
        <v>19.3</v>
      </c>
      <c r="P196" s="2">
        <f t="shared" si="1"/>
        <v>0</v>
      </c>
      <c r="Q196" s="1" t="str">
        <f t="shared" si="2"/>
        <v>High Leisure Screen</v>
      </c>
      <c r="R196" s="2" t="str">
        <f t="shared" si="3"/>
        <v>High Total Screen</v>
      </c>
      <c r="S196" s="2" t="str">
        <f t="shared" si="4"/>
        <v>Lower Exercise</v>
      </c>
      <c r="T196" s="2" t="str">
        <f t="shared" si="5"/>
        <v>Higher Social</v>
      </c>
      <c r="AA196" s="1">
        <v>4.01</v>
      </c>
      <c r="AB196" s="2">
        <f t="shared" si="6"/>
        <v>1.611435915</v>
      </c>
    </row>
    <row r="197">
      <c r="A197" s="1" t="s">
        <v>264</v>
      </c>
      <c r="B197" s="1">
        <v>33.0</v>
      </c>
      <c r="C197" s="1" t="s">
        <v>16</v>
      </c>
      <c r="D197" s="1" t="s">
        <v>43</v>
      </c>
      <c r="E197" s="1" t="s">
        <v>23</v>
      </c>
      <c r="F197" s="1">
        <v>5.85</v>
      </c>
      <c r="G197" s="1">
        <v>0.58</v>
      </c>
      <c r="H197" s="1">
        <v>5.27</v>
      </c>
      <c r="I197" s="1">
        <v>7.18</v>
      </c>
      <c r="J197" s="1">
        <v>1.0</v>
      </c>
      <c r="K197" s="1">
        <v>7.4</v>
      </c>
      <c r="L197" s="1">
        <v>54.0</v>
      </c>
      <c r="M197" s="1">
        <v>148.0</v>
      </c>
      <c r="N197" s="1">
        <v>2.0</v>
      </c>
      <c r="O197" s="1">
        <v>20.3</v>
      </c>
      <c r="P197" s="2">
        <f t="shared" si="1"/>
        <v>0</v>
      </c>
      <c r="Q197" s="1" t="str">
        <f t="shared" si="2"/>
        <v>Low Leisure Screen</v>
      </c>
      <c r="R197" s="2" t="str">
        <f t="shared" si="3"/>
        <v>Low Total Screen</v>
      </c>
      <c r="S197" s="2" t="str">
        <f t="shared" si="4"/>
        <v/>
      </c>
      <c r="T197" s="2" t="str">
        <f t="shared" si="5"/>
        <v/>
      </c>
      <c r="AA197" s="1">
        <v>0.58</v>
      </c>
      <c r="AB197" s="2">
        <f t="shared" si="6"/>
        <v>0.457424847</v>
      </c>
    </row>
    <row r="198">
      <c r="A198" s="1" t="s">
        <v>265</v>
      </c>
      <c r="B198" s="1">
        <v>22.0</v>
      </c>
      <c r="C198" s="1" t="s">
        <v>16</v>
      </c>
      <c r="D198" s="1" t="s">
        <v>35</v>
      </c>
      <c r="E198" s="1" t="s">
        <v>18</v>
      </c>
      <c r="F198" s="1">
        <v>10.95</v>
      </c>
      <c r="G198" s="1">
        <v>2.64</v>
      </c>
      <c r="H198" s="1">
        <v>8.31</v>
      </c>
      <c r="I198" s="1">
        <v>6.17</v>
      </c>
      <c r="J198" s="1">
        <v>1.0</v>
      </c>
      <c r="K198" s="1">
        <v>10.0</v>
      </c>
      <c r="L198" s="1">
        <v>48.3</v>
      </c>
      <c r="M198" s="1">
        <v>62.0</v>
      </c>
      <c r="N198" s="1">
        <v>5.8</v>
      </c>
      <c r="O198" s="1">
        <v>7.6</v>
      </c>
      <c r="P198" s="2">
        <f t="shared" si="1"/>
        <v>0</v>
      </c>
      <c r="Q198" s="1" t="str">
        <f t="shared" si="2"/>
        <v>High Leisure Screen</v>
      </c>
      <c r="R198" s="2" t="str">
        <f t="shared" si="3"/>
        <v>High Total Screen</v>
      </c>
      <c r="S198" s="2" t="str">
        <f t="shared" si="4"/>
        <v>Lower Exercise</v>
      </c>
      <c r="T198" s="2" t="str">
        <f t="shared" si="5"/>
        <v>Lower Social</v>
      </c>
      <c r="AA198" s="1">
        <v>2.64</v>
      </c>
      <c r="AB198" s="2">
        <f t="shared" si="6"/>
        <v>1.291983682</v>
      </c>
    </row>
    <row r="199">
      <c r="A199" s="1" t="s">
        <v>266</v>
      </c>
      <c r="B199" s="1">
        <v>31.0</v>
      </c>
      <c r="C199" s="1" t="s">
        <v>30</v>
      </c>
      <c r="D199" s="1" t="s">
        <v>35</v>
      </c>
      <c r="E199" s="1" t="s">
        <v>18</v>
      </c>
      <c r="F199" s="1">
        <v>8.08</v>
      </c>
      <c r="G199" s="1">
        <v>3.75</v>
      </c>
      <c r="H199" s="1">
        <v>4.33</v>
      </c>
      <c r="I199" s="1">
        <v>5.1</v>
      </c>
      <c r="J199" s="1">
        <v>1.0</v>
      </c>
      <c r="K199" s="1">
        <v>7.0</v>
      </c>
      <c r="L199" s="1">
        <v>62.7</v>
      </c>
      <c r="M199" s="1">
        <v>132.0</v>
      </c>
      <c r="N199" s="1">
        <v>5.6</v>
      </c>
      <c r="O199" s="1">
        <v>30.6</v>
      </c>
      <c r="P199" s="2">
        <f t="shared" si="1"/>
        <v>0</v>
      </c>
      <c r="Q199" s="1" t="str">
        <f t="shared" si="2"/>
        <v>Low Leisure Screen</v>
      </c>
      <c r="R199" s="2" t="str">
        <f t="shared" si="3"/>
        <v>Low Total Screen</v>
      </c>
      <c r="S199" s="2" t="str">
        <f t="shared" si="4"/>
        <v/>
      </c>
      <c r="T199" s="2" t="str">
        <f t="shared" si="5"/>
        <v/>
      </c>
      <c r="AA199" s="1">
        <v>3.75</v>
      </c>
      <c r="AB199" s="2">
        <f t="shared" si="6"/>
        <v>1.558144618</v>
      </c>
    </row>
    <row r="200">
      <c r="A200" s="1" t="s">
        <v>267</v>
      </c>
      <c r="B200" s="1">
        <v>30.0</v>
      </c>
      <c r="C200" s="1" t="s">
        <v>30</v>
      </c>
      <c r="D200" s="1" t="s">
        <v>17</v>
      </c>
      <c r="E200" s="1" t="s">
        <v>27</v>
      </c>
      <c r="F200" s="1">
        <v>11.65</v>
      </c>
      <c r="G200" s="1">
        <v>0.58</v>
      </c>
      <c r="H200" s="1">
        <v>11.07</v>
      </c>
      <c r="I200" s="1">
        <v>5.47</v>
      </c>
      <c r="J200" s="1">
        <v>1.0</v>
      </c>
      <c r="K200" s="1">
        <v>10.0</v>
      </c>
      <c r="L200" s="1">
        <v>46.4</v>
      </c>
      <c r="M200" s="1">
        <v>129.0</v>
      </c>
      <c r="N200" s="1">
        <v>0.0</v>
      </c>
      <c r="O200" s="1">
        <v>0.8</v>
      </c>
      <c r="P200" s="2">
        <f t="shared" si="1"/>
        <v>0</v>
      </c>
      <c r="Q200" s="1" t="str">
        <f t="shared" si="2"/>
        <v>High Leisure Screen</v>
      </c>
      <c r="R200" s="2" t="str">
        <f t="shared" si="3"/>
        <v>High Total Screen</v>
      </c>
      <c r="S200" s="2" t="str">
        <f t="shared" si="4"/>
        <v>Higher Exercise</v>
      </c>
      <c r="T200" s="2" t="str">
        <f t="shared" si="5"/>
        <v>Lower Social</v>
      </c>
      <c r="AA200" s="1">
        <v>0.58</v>
      </c>
      <c r="AB200" s="2">
        <f t="shared" si="6"/>
        <v>0.457424847</v>
      </c>
    </row>
    <row r="201">
      <c r="A201" s="1" t="s">
        <v>268</v>
      </c>
      <c r="B201" s="1">
        <v>20.0</v>
      </c>
      <c r="C201" s="1" t="s">
        <v>30</v>
      </c>
      <c r="D201" s="1" t="s">
        <v>17</v>
      </c>
      <c r="E201" s="1" t="s">
        <v>27</v>
      </c>
      <c r="F201" s="1">
        <v>8.93</v>
      </c>
      <c r="G201" s="1">
        <v>1.62</v>
      </c>
      <c r="H201" s="1">
        <v>7.31</v>
      </c>
      <c r="I201" s="1">
        <v>5.89</v>
      </c>
      <c r="J201" s="1">
        <v>1.0</v>
      </c>
      <c r="K201" s="1">
        <v>10.0</v>
      </c>
      <c r="L201" s="1">
        <v>44.7</v>
      </c>
      <c r="M201" s="1">
        <v>189.0</v>
      </c>
      <c r="N201" s="1">
        <v>6.9</v>
      </c>
      <c r="O201" s="1">
        <v>0.0</v>
      </c>
      <c r="P201" s="2">
        <f t="shared" si="1"/>
        <v>0</v>
      </c>
      <c r="Q201" s="1" t="str">
        <f t="shared" si="2"/>
        <v>High Leisure Screen</v>
      </c>
      <c r="R201" s="2" t="str">
        <f t="shared" si="3"/>
        <v>Low Total Screen</v>
      </c>
      <c r="S201" s="2" t="str">
        <f t="shared" si="4"/>
        <v/>
      </c>
      <c r="T201" s="2" t="str">
        <f t="shared" si="5"/>
        <v/>
      </c>
      <c r="AA201" s="1">
        <v>1.62</v>
      </c>
      <c r="AB201" s="2">
        <f t="shared" si="6"/>
        <v>0.9631743178</v>
      </c>
    </row>
    <row r="202">
      <c r="A202" s="1" t="s">
        <v>269</v>
      </c>
      <c r="B202" s="1">
        <v>32.0</v>
      </c>
      <c r="C202" s="1" t="s">
        <v>16</v>
      </c>
      <c r="D202" s="1" t="s">
        <v>32</v>
      </c>
      <c r="E202" s="1" t="s">
        <v>18</v>
      </c>
      <c r="F202" s="1">
        <v>11.79</v>
      </c>
      <c r="G202" s="1">
        <v>7.06</v>
      </c>
      <c r="H202" s="1">
        <v>4.73</v>
      </c>
      <c r="I202" s="1">
        <v>6.76</v>
      </c>
      <c r="J202" s="1">
        <v>1.0</v>
      </c>
      <c r="K202" s="1">
        <v>10.0</v>
      </c>
      <c r="L202" s="1">
        <v>31.8</v>
      </c>
      <c r="M202" s="1">
        <v>0.0</v>
      </c>
      <c r="N202" s="1">
        <v>12.2</v>
      </c>
      <c r="O202" s="1">
        <v>0.0</v>
      </c>
      <c r="P202" s="2">
        <f t="shared" si="1"/>
        <v>0</v>
      </c>
      <c r="Q202" s="1" t="str">
        <f t="shared" si="2"/>
        <v>Low Leisure Screen</v>
      </c>
      <c r="R202" s="2" t="str">
        <f t="shared" si="3"/>
        <v>High Total Screen</v>
      </c>
      <c r="S202" s="2" t="str">
        <f t="shared" si="4"/>
        <v>Lower Exercise</v>
      </c>
      <c r="T202" s="2" t="str">
        <f t="shared" si="5"/>
        <v>Higher Social</v>
      </c>
      <c r="AA202" s="1">
        <v>7.06</v>
      </c>
      <c r="AB202" s="2">
        <f t="shared" si="6"/>
        <v>2.086913557</v>
      </c>
    </row>
    <row r="203">
      <c r="A203" s="1" t="s">
        <v>270</v>
      </c>
      <c r="B203" s="1">
        <v>34.0</v>
      </c>
      <c r="C203" s="1" t="s">
        <v>30</v>
      </c>
      <c r="D203" s="1" t="s">
        <v>17</v>
      </c>
      <c r="E203" s="1" t="s">
        <v>27</v>
      </c>
      <c r="F203" s="1">
        <v>6.09</v>
      </c>
      <c r="G203" s="1">
        <v>0.59</v>
      </c>
      <c r="H203" s="1">
        <v>5.5</v>
      </c>
      <c r="I203" s="1">
        <v>7.27</v>
      </c>
      <c r="J203" s="1">
        <v>2.0</v>
      </c>
      <c r="K203" s="1">
        <v>8.5</v>
      </c>
      <c r="L203" s="1">
        <v>66.7</v>
      </c>
      <c r="M203" s="1">
        <v>84.0</v>
      </c>
      <c r="N203" s="1">
        <v>11.9</v>
      </c>
      <c r="O203" s="1">
        <v>27.5</v>
      </c>
      <c r="P203" s="2">
        <f t="shared" si="1"/>
        <v>0</v>
      </c>
      <c r="Q203" s="1" t="str">
        <f t="shared" si="2"/>
        <v>Low Leisure Screen</v>
      </c>
      <c r="R203" s="2" t="str">
        <f t="shared" si="3"/>
        <v>Low Total Screen</v>
      </c>
      <c r="S203" s="2" t="str">
        <f t="shared" si="4"/>
        <v/>
      </c>
      <c r="T203" s="2" t="str">
        <f t="shared" si="5"/>
        <v/>
      </c>
      <c r="AA203" s="1">
        <v>0.59</v>
      </c>
      <c r="AB203" s="2">
        <f t="shared" si="6"/>
        <v>0.4637340162</v>
      </c>
    </row>
    <row r="204">
      <c r="A204" s="1" t="s">
        <v>271</v>
      </c>
      <c r="B204" s="1">
        <v>38.0</v>
      </c>
      <c r="C204" s="1" t="s">
        <v>16</v>
      </c>
      <c r="D204" s="1" t="s">
        <v>17</v>
      </c>
      <c r="E204" s="1" t="s">
        <v>23</v>
      </c>
      <c r="F204" s="1">
        <v>8.64</v>
      </c>
      <c r="G204" s="1">
        <v>1.15</v>
      </c>
      <c r="H204" s="1">
        <v>7.49</v>
      </c>
      <c r="I204" s="1">
        <v>6.11</v>
      </c>
      <c r="J204" s="1">
        <v>1.0</v>
      </c>
      <c r="K204" s="1">
        <v>6.6</v>
      </c>
      <c r="L204" s="1">
        <v>57.0</v>
      </c>
      <c r="M204" s="1">
        <v>140.0</v>
      </c>
      <c r="N204" s="1">
        <v>12.8</v>
      </c>
      <c r="O204" s="1">
        <v>29.4</v>
      </c>
      <c r="P204" s="2">
        <f t="shared" si="1"/>
        <v>0</v>
      </c>
      <c r="Q204" s="1" t="str">
        <f t="shared" si="2"/>
        <v>High Leisure Screen</v>
      </c>
      <c r="R204" s="2" t="str">
        <f t="shared" si="3"/>
        <v>Low Total Screen</v>
      </c>
      <c r="S204" s="2" t="str">
        <f t="shared" si="4"/>
        <v/>
      </c>
      <c r="T204" s="2" t="str">
        <f t="shared" si="5"/>
        <v/>
      </c>
      <c r="AA204" s="1">
        <v>1.15</v>
      </c>
      <c r="AB204" s="2">
        <f t="shared" si="6"/>
        <v>0.7654678421</v>
      </c>
    </row>
    <row r="205">
      <c r="A205" s="1" t="s">
        <v>272</v>
      </c>
      <c r="B205" s="1">
        <v>38.0</v>
      </c>
      <c r="C205" s="1" t="s">
        <v>16</v>
      </c>
      <c r="D205" s="1" t="s">
        <v>17</v>
      </c>
      <c r="E205" s="1" t="s">
        <v>27</v>
      </c>
      <c r="F205" s="1">
        <v>7.71</v>
      </c>
      <c r="G205" s="1">
        <v>0.87</v>
      </c>
      <c r="H205" s="1">
        <v>6.84</v>
      </c>
      <c r="I205" s="1">
        <v>7.1</v>
      </c>
      <c r="J205" s="1">
        <v>1.0</v>
      </c>
      <c r="K205" s="1">
        <v>6.4</v>
      </c>
      <c r="L205" s="1">
        <v>52.5</v>
      </c>
      <c r="M205" s="1">
        <v>170.0</v>
      </c>
      <c r="N205" s="1">
        <v>7.4</v>
      </c>
      <c r="O205" s="1">
        <v>24.6</v>
      </c>
      <c r="P205" s="2">
        <f t="shared" si="1"/>
        <v>0</v>
      </c>
      <c r="Q205" s="1" t="str">
        <f t="shared" si="2"/>
        <v>High Leisure Screen</v>
      </c>
      <c r="R205" s="2" t="str">
        <f t="shared" si="3"/>
        <v>Low Total Screen</v>
      </c>
      <c r="S205" s="2" t="str">
        <f t="shared" si="4"/>
        <v/>
      </c>
      <c r="T205" s="2" t="str">
        <f t="shared" si="5"/>
        <v/>
      </c>
      <c r="AA205" s="1">
        <v>0.87</v>
      </c>
      <c r="AB205" s="2">
        <f t="shared" si="6"/>
        <v>0.6259384309</v>
      </c>
    </row>
    <row r="206">
      <c r="A206" s="1" t="s">
        <v>273</v>
      </c>
      <c r="B206" s="1">
        <v>18.0</v>
      </c>
      <c r="C206" s="1" t="s">
        <v>16</v>
      </c>
      <c r="D206" s="1" t="s">
        <v>17</v>
      </c>
      <c r="E206" s="1" t="s">
        <v>27</v>
      </c>
      <c r="F206" s="1">
        <v>10.68</v>
      </c>
      <c r="G206" s="1">
        <v>0.88</v>
      </c>
      <c r="H206" s="1">
        <v>9.8</v>
      </c>
      <c r="I206" s="1">
        <v>7.08</v>
      </c>
      <c r="J206" s="1">
        <v>1.0</v>
      </c>
      <c r="K206" s="1">
        <v>10.0</v>
      </c>
      <c r="L206" s="1">
        <v>50.1</v>
      </c>
      <c r="M206" s="1">
        <v>241.0</v>
      </c>
      <c r="N206" s="1">
        <v>3.1</v>
      </c>
      <c r="O206" s="1">
        <v>6.2</v>
      </c>
      <c r="P206" s="2">
        <f t="shared" si="1"/>
        <v>0</v>
      </c>
      <c r="Q206" s="1" t="str">
        <f t="shared" si="2"/>
        <v>High Leisure Screen</v>
      </c>
      <c r="R206" s="2" t="str">
        <f t="shared" si="3"/>
        <v>High Total Screen</v>
      </c>
      <c r="S206" s="2" t="str">
        <f t="shared" si="4"/>
        <v>Higher Exercise</v>
      </c>
      <c r="T206" s="2" t="str">
        <f t="shared" si="5"/>
        <v>Lower Social</v>
      </c>
      <c r="AA206" s="1">
        <v>0.88</v>
      </c>
      <c r="AB206" s="2">
        <f t="shared" si="6"/>
        <v>0.6312717768</v>
      </c>
    </row>
    <row r="207">
      <c r="A207" s="1" t="s">
        <v>274</v>
      </c>
      <c r="B207" s="1">
        <v>22.0</v>
      </c>
      <c r="C207" s="1" t="s">
        <v>30</v>
      </c>
      <c r="D207" s="1" t="s">
        <v>17</v>
      </c>
      <c r="E207" s="1" t="s">
        <v>27</v>
      </c>
      <c r="F207" s="1">
        <v>8.73</v>
      </c>
      <c r="G207" s="1">
        <v>0.65</v>
      </c>
      <c r="H207" s="1">
        <v>8.08</v>
      </c>
      <c r="I207" s="1">
        <v>7.43</v>
      </c>
      <c r="J207" s="1">
        <v>1.0</v>
      </c>
      <c r="K207" s="1">
        <v>9.4</v>
      </c>
      <c r="L207" s="1">
        <v>59.9</v>
      </c>
      <c r="M207" s="1">
        <v>169.0</v>
      </c>
      <c r="N207" s="1">
        <v>13.1</v>
      </c>
      <c r="O207" s="1">
        <v>26.0</v>
      </c>
      <c r="P207" s="2">
        <f t="shared" si="1"/>
        <v>0</v>
      </c>
      <c r="Q207" s="1" t="str">
        <f t="shared" si="2"/>
        <v>High Leisure Screen</v>
      </c>
      <c r="R207" s="2" t="str">
        <f t="shared" si="3"/>
        <v>Low Total Screen</v>
      </c>
      <c r="S207" s="2" t="str">
        <f t="shared" si="4"/>
        <v/>
      </c>
      <c r="T207" s="2" t="str">
        <f t="shared" si="5"/>
        <v/>
      </c>
      <c r="AA207" s="1">
        <v>0.65</v>
      </c>
      <c r="AB207" s="2">
        <f t="shared" si="6"/>
        <v>0.5007752879</v>
      </c>
    </row>
    <row r="208">
      <c r="A208" s="1" t="s">
        <v>275</v>
      </c>
      <c r="B208" s="1">
        <v>34.0</v>
      </c>
      <c r="C208" s="1" t="s">
        <v>30</v>
      </c>
      <c r="D208" s="1" t="s">
        <v>32</v>
      </c>
      <c r="E208" s="1" t="s">
        <v>27</v>
      </c>
      <c r="F208" s="1">
        <v>7.3</v>
      </c>
      <c r="G208" s="1">
        <v>0.72</v>
      </c>
      <c r="H208" s="1">
        <v>6.58</v>
      </c>
      <c r="I208" s="1">
        <v>5.83</v>
      </c>
      <c r="J208" s="1">
        <v>1.0</v>
      </c>
      <c r="K208" s="1">
        <v>9.8</v>
      </c>
      <c r="L208" s="1">
        <v>47.6</v>
      </c>
      <c r="M208" s="1">
        <v>112.0</v>
      </c>
      <c r="N208" s="1">
        <v>6.4</v>
      </c>
      <c r="O208" s="1">
        <v>0.0</v>
      </c>
      <c r="P208" s="2">
        <f t="shared" si="1"/>
        <v>0</v>
      </c>
      <c r="Q208" s="1" t="str">
        <f t="shared" si="2"/>
        <v>Low Leisure Screen</v>
      </c>
      <c r="R208" s="2" t="str">
        <f t="shared" si="3"/>
        <v>Low Total Screen</v>
      </c>
      <c r="S208" s="2" t="str">
        <f t="shared" si="4"/>
        <v/>
      </c>
      <c r="T208" s="2" t="str">
        <f t="shared" si="5"/>
        <v/>
      </c>
      <c r="AA208" s="1">
        <v>0.72</v>
      </c>
      <c r="AB208" s="2">
        <f t="shared" si="6"/>
        <v>0.5423242908</v>
      </c>
    </row>
    <row r="209">
      <c r="A209" s="1" t="s">
        <v>276</v>
      </c>
      <c r="B209" s="1">
        <v>34.0</v>
      </c>
      <c r="C209" s="1" t="s">
        <v>30</v>
      </c>
      <c r="D209" s="1" t="s">
        <v>32</v>
      </c>
      <c r="E209" s="1" t="s">
        <v>18</v>
      </c>
      <c r="F209" s="1">
        <v>10.89</v>
      </c>
      <c r="G209" s="1">
        <v>7.48</v>
      </c>
      <c r="H209" s="1">
        <v>3.41</v>
      </c>
      <c r="I209" s="1">
        <v>6.7</v>
      </c>
      <c r="J209" s="1">
        <v>1.0</v>
      </c>
      <c r="K209" s="1">
        <v>10.0</v>
      </c>
      <c r="L209" s="1">
        <v>54.6</v>
      </c>
      <c r="M209" s="1">
        <v>32.0</v>
      </c>
      <c r="N209" s="1">
        <v>9.5</v>
      </c>
      <c r="O209" s="1">
        <v>9.8</v>
      </c>
      <c r="P209" s="2">
        <f t="shared" si="1"/>
        <v>0</v>
      </c>
      <c r="Q209" s="1" t="str">
        <f t="shared" si="2"/>
        <v>Low Leisure Screen</v>
      </c>
      <c r="R209" s="2" t="str">
        <f t="shared" si="3"/>
        <v>High Total Screen</v>
      </c>
      <c r="S209" s="2" t="str">
        <f t="shared" si="4"/>
        <v>Lower Exercise</v>
      </c>
      <c r="T209" s="2" t="str">
        <f t="shared" si="5"/>
        <v>Higher Social</v>
      </c>
      <c r="AA209" s="1">
        <v>7.48</v>
      </c>
      <c r="AB209" s="2">
        <f t="shared" si="6"/>
        <v>2.13771045</v>
      </c>
    </row>
    <row r="210">
      <c r="A210" s="1" t="s">
        <v>277</v>
      </c>
      <c r="B210" s="1">
        <v>34.0</v>
      </c>
      <c r="C210" s="1" t="s">
        <v>16</v>
      </c>
      <c r="D210" s="1" t="s">
        <v>17</v>
      </c>
      <c r="E210" s="1" t="s">
        <v>27</v>
      </c>
      <c r="F210" s="1">
        <v>11.14</v>
      </c>
      <c r="G210" s="1">
        <v>1.56</v>
      </c>
      <c r="H210" s="1">
        <v>9.58</v>
      </c>
      <c r="I210" s="1">
        <v>5.66</v>
      </c>
      <c r="J210" s="1">
        <v>1.0</v>
      </c>
      <c r="K210" s="1">
        <v>9.6</v>
      </c>
      <c r="L210" s="1">
        <v>43.4</v>
      </c>
      <c r="M210" s="1">
        <v>54.0</v>
      </c>
      <c r="N210" s="1">
        <v>10.4</v>
      </c>
      <c r="O210" s="1">
        <v>0.0</v>
      </c>
      <c r="P210" s="2">
        <f t="shared" si="1"/>
        <v>0</v>
      </c>
      <c r="Q210" s="1" t="str">
        <f t="shared" si="2"/>
        <v>High Leisure Screen</v>
      </c>
      <c r="R210" s="2" t="str">
        <f t="shared" si="3"/>
        <v>High Total Screen</v>
      </c>
      <c r="S210" s="2" t="str">
        <f t="shared" si="4"/>
        <v>Lower Exercise</v>
      </c>
      <c r="T210" s="2" t="str">
        <f t="shared" si="5"/>
        <v>Higher Social</v>
      </c>
      <c r="AA210" s="1">
        <v>1.56</v>
      </c>
      <c r="AB210" s="2">
        <f t="shared" si="6"/>
        <v>0.9400072585</v>
      </c>
    </row>
    <row r="211">
      <c r="A211" s="1" t="s">
        <v>278</v>
      </c>
      <c r="B211" s="1">
        <v>60.0</v>
      </c>
      <c r="C211" s="1" t="s">
        <v>30</v>
      </c>
      <c r="D211" s="1" t="s">
        <v>32</v>
      </c>
      <c r="E211" s="1" t="s">
        <v>18</v>
      </c>
      <c r="F211" s="1">
        <v>12.56</v>
      </c>
      <c r="G211" s="1">
        <v>2.93</v>
      </c>
      <c r="H211" s="1">
        <v>9.63</v>
      </c>
      <c r="I211" s="1">
        <v>7.54</v>
      </c>
      <c r="J211" s="1">
        <v>1.0</v>
      </c>
      <c r="K211" s="1">
        <v>10.0</v>
      </c>
      <c r="L211" s="1">
        <v>36.9</v>
      </c>
      <c r="M211" s="1">
        <v>56.0</v>
      </c>
      <c r="N211" s="1">
        <v>15.9</v>
      </c>
      <c r="O211" s="1">
        <v>0.0</v>
      </c>
      <c r="P211" s="2">
        <f t="shared" si="1"/>
        <v>0</v>
      </c>
      <c r="Q211" s="1" t="str">
        <f t="shared" si="2"/>
        <v>High Leisure Screen</v>
      </c>
      <c r="R211" s="2" t="str">
        <f t="shared" si="3"/>
        <v>High Total Screen</v>
      </c>
      <c r="S211" s="2" t="str">
        <f t="shared" si="4"/>
        <v>Lower Exercise</v>
      </c>
      <c r="T211" s="2" t="str">
        <f t="shared" si="5"/>
        <v>Higher Social</v>
      </c>
      <c r="AA211" s="1">
        <v>2.93</v>
      </c>
      <c r="AB211" s="2">
        <f t="shared" si="6"/>
        <v>1.368639426</v>
      </c>
    </row>
    <row r="212">
      <c r="A212" s="1" t="s">
        <v>279</v>
      </c>
      <c r="B212" s="1">
        <v>34.0</v>
      </c>
      <c r="C212" s="1" t="s">
        <v>16</v>
      </c>
      <c r="D212" s="1" t="s">
        <v>35</v>
      </c>
      <c r="E212" s="1" t="s">
        <v>18</v>
      </c>
      <c r="F212" s="1">
        <v>11.96</v>
      </c>
      <c r="G212" s="1">
        <v>6.74</v>
      </c>
      <c r="H212" s="1">
        <v>5.22</v>
      </c>
      <c r="I212" s="1">
        <v>7.27</v>
      </c>
      <c r="J212" s="1">
        <v>1.0</v>
      </c>
      <c r="K212" s="1">
        <v>9.3</v>
      </c>
      <c r="L212" s="1">
        <v>39.1</v>
      </c>
      <c r="M212" s="1">
        <v>134.0</v>
      </c>
      <c r="N212" s="1">
        <v>10.2</v>
      </c>
      <c r="O212" s="1">
        <v>3.3</v>
      </c>
      <c r="P212" s="2">
        <f t="shared" si="1"/>
        <v>0</v>
      </c>
      <c r="Q212" s="1" t="str">
        <f t="shared" si="2"/>
        <v>Low Leisure Screen</v>
      </c>
      <c r="R212" s="2" t="str">
        <f t="shared" si="3"/>
        <v>High Total Screen</v>
      </c>
      <c r="S212" s="2" t="str">
        <f t="shared" si="4"/>
        <v>Higher Exercise</v>
      </c>
      <c r="T212" s="2" t="str">
        <f t="shared" si="5"/>
        <v>Higher Social</v>
      </c>
      <c r="AA212" s="1">
        <v>6.74</v>
      </c>
      <c r="AB212" s="2">
        <f t="shared" si="6"/>
        <v>2.046401688</v>
      </c>
    </row>
    <row r="213">
      <c r="A213" s="1" t="s">
        <v>280</v>
      </c>
      <c r="B213" s="1">
        <v>39.0</v>
      </c>
      <c r="C213" s="1" t="s">
        <v>30</v>
      </c>
      <c r="D213" s="1" t="s">
        <v>17</v>
      </c>
      <c r="E213" s="1" t="s">
        <v>27</v>
      </c>
      <c r="F213" s="1">
        <v>11.15</v>
      </c>
      <c r="G213" s="1">
        <v>0.56</v>
      </c>
      <c r="H213" s="1">
        <v>10.59</v>
      </c>
      <c r="I213" s="1">
        <v>6.1</v>
      </c>
      <c r="J213" s="1">
        <v>1.0</v>
      </c>
      <c r="K213" s="1">
        <v>9.2</v>
      </c>
      <c r="L213" s="1">
        <v>54.3</v>
      </c>
      <c r="M213" s="1">
        <v>114.0</v>
      </c>
      <c r="N213" s="1">
        <v>0.1</v>
      </c>
      <c r="O213" s="1">
        <v>6.5</v>
      </c>
      <c r="P213" s="2">
        <f t="shared" si="1"/>
        <v>0</v>
      </c>
      <c r="Q213" s="1" t="str">
        <f t="shared" si="2"/>
        <v>High Leisure Screen</v>
      </c>
      <c r="R213" s="2" t="str">
        <f t="shared" si="3"/>
        <v>High Total Screen</v>
      </c>
      <c r="S213" s="2" t="str">
        <f t="shared" si="4"/>
        <v>Higher Exercise</v>
      </c>
      <c r="T213" s="2" t="str">
        <f t="shared" si="5"/>
        <v>Lower Social</v>
      </c>
      <c r="AA213" s="1">
        <v>0.56</v>
      </c>
      <c r="AB213" s="2">
        <f t="shared" si="6"/>
        <v>0.4446858213</v>
      </c>
    </row>
    <row r="214">
      <c r="A214" s="1" t="s">
        <v>281</v>
      </c>
      <c r="B214" s="1">
        <v>37.0</v>
      </c>
      <c r="C214" s="1" t="s">
        <v>16</v>
      </c>
      <c r="D214" s="1" t="s">
        <v>17</v>
      </c>
      <c r="E214" s="1" t="s">
        <v>18</v>
      </c>
      <c r="F214" s="1">
        <v>5.28</v>
      </c>
      <c r="G214" s="1">
        <v>3.59</v>
      </c>
      <c r="H214" s="1">
        <v>1.69</v>
      </c>
      <c r="I214" s="1">
        <v>7.07</v>
      </c>
      <c r="J214" s="1">
        <v>2.0</v>
      </c>
      <c r="K214" s="1">
        <v>6.5</v>
      </c>
      <c r="L214" s="1">
        <v>65.4</v>
      </c>
      <c r="M214" s="1">
        <v>37.0</v>
      </c>
      <c r="N214" s="1">
        <v>4.5</v>
      </c>
      <c r="O214" s="1">
        <v>38.8</v>
      </c>
      <c r="P214" s="2">
        <f t="shared" si="1"/>
        <v>0</v>
      </c>
      <c r="Q214" s="1" t="str">
        <f t="shared" si="2"/>
        <v>Low Leisure Screen</v>
      </c>
      <c r="R214" s="2" t="str">
        <f t="shared" si="3"/>
        <v>Low Total Screen</v>
      </c>
      <c r="S214" s="2" t="str">
        <f t="shared" si="4"/>
        <v/>
      </c>
      <c r="T214" s="2" t="str">
        <f t="shared" si="5"/>
        <v/>
      </c>
      <c r="AA214" s="1">
        <v>3.59</v>
      </c>
      <c r="AB214" s="2">
        <f t="shared" si="6"/>
        <v>1.523880024</v>
      </c>
    </row>
    <row r="215">
      <c r="A215" s="1" t="s">
        <v>282</v>
      </c>
      <c r="B215" s="1">
        <v>35.0</v>
      </c>
      <c r="C215" s="1" t="s">
        <v>16</v>
      </c>
      <c r="D215" s="1" t="s">
        <v>17</v>
      </c>
      <c r="E215" s="1" t="s">
        <v>27</v>
      </c>
      <c r="F215" s="1">
        <v>7.32</v>
      </c>
      <c r="G215" s="1">
        <v>1.08</v>
      </c>
      <c r="H215" s="1">
        <v>6.24</v>
      </c>
      <c r="I215" s="1">
        <v>6.98</v>
      </c>
      <c r="J215" s="1">
        <v>1.0</v>
      </c>
      <c r="K215" s="1">
        <v>9.2</v>
      </c>
      <c r="L215" s="1">
        <v>54.6</v>
      </c>
      <c r="M215" s="1">
        <v>86.0</v>
      </c>
      <c r="N215" s="1">
        <v>13.3</v>
      </c>
      <c r="O215" s="1">
        <v>19.1</v>
      </c>
      <c r="P215" s="2">
        <f t="shared" si="1"/>
        <v>0</v>
      </c>
      <c r="Q215" s="1" t="str">
        <f t="shared" si="2"/>
        <v>Low Leisure Screen</v>
      </c>
      <c r="R215" s="2" t="str">
        <f t="shared" si="3"/>
        <v>Low Total Screen</v>
      </c>
      <c r="S215" s="2" t="str">
        <f t="shared" si="4"/>
        <v/>
      </c>
      <c r="T215" s="2" t="str">
        <f t="shared" si="5"/>
        <v/>
      </c>
      <c r="AA215" s="1">
        <v>1.08</v>
      </c>
      <c r="AB215" s="2">
        <f t="shared" si="6"/>
        <v>0.7323678937</v>
      </c>
    </row>
    <row r="216">
      <c r="A216" s="1" t="s">
        <v>283</v>
      </c>
      <c r="B216" s="1">
        <v>27.0</v>
      </c>
      <c r="C216" s="1" t="s">
        <v>16</v>
      </c>
      <c r="D216" s="1" t="s">
        <v>35</v>
      </c>
      <c r="E216" s="1" t="s">
        <v>27</v>
      </c>
      <c r="F216" s="1">
        <v>9.39</v>
      </c>
      <c r="G216" s="1">
        <v>0.47</v>
      </c>
      <c r="H216" s="1">
        <v>8.92</v>
      </c>
      <c r="I216" s="1">
        <v>5.16</v>
      </c>
      <c r="J216" s="1">
        <v>1.0</v>
      </c>
      <c r="K216" s="1">
        <v>10.0</v>
      </c>
      <c r="L216" s="1">
        <v>40.6</v>
      </c>
      <c r="M216" s="1">
        <v>162.0</v>
      </c>
      <c r="N216" s="1">
        <v>9.0</v>
      </c>
      <c r="O216" s="1">
        <v>5.9</v>
      </c>
      <c r="P216" s="2">
        <f t="shared" si="1"/>
        <v>0</v>
      </c>
      <c r="Q216" s="1" t="str">
        <f t="shared" si="2"/>
        <v>High Leisure Screen</v>
      </c>
      <c r="R216" s="2" t="str">
        <f t="shared" si="3"/>
        <v>High Total Screen</v>
      </c>
      <c r="S216" s="2" t="str">
        <f t="shared" si="4"/>
        <v>Higher Exercise</v>
      </c>
      <c r="T216" s="2" t="str">
        <f t="shared" si="5"/>
        <v>Higher Social</v>
      </c>
      <c r="AA216" s="1">
        <v>0.47</v>
      </c>
      <c r="AB216" s="2">
        <f t="shared" si="6"/>
        <v>0.3852624008</v>
      </c>
    </row>
    <row r="217">
      <c r="A217" s="1" t="s">
        <v>284</v>
      </c>
      <c r="B217" s="1">
        <v>36.0</v>
      </c>
      <c r="C217" s="1" t="s">
        <v>16</v>
      </c>
      <c r="D217" s="1" t="s">
        <v>17</v>
      </c>
      <c r="E217" s="1" t="s">
        <v>18</v>
      </c>
      <c r="F217" s="1">
        <v>11.12</v>
      </c>
      <c r="G217" s="1">
        <v>4.7</v>
      </c>
      <c r="H217" s="1">
        <v>6.42</v>
      </c>
      <c r="I217" s="1">
        <v>7.06</v>
      </c>
      <c r="J217" s="1">
        <v>1.0</v>
      </c>
      <c r="K217" s="1">
        <v>8.3</v>
      </c>
      <c r="L217" s="1">
        <v>45.4</v>
      </c>
      <c r="M217" s="1">
        <v>119.0</v>
      </c>
      <c r="N217" s="1">
        <v>4.3</v>
      </c>
      <c r="O217" s="1">
        <v>13.0</v>
      </c>
      <c r="P217" s="2">
        <f t="shared" si="1"/>
        <v>0</v>
      </c>
      <c r="Q217" s="1" t="str">
        <f t="shared" si="2"/>
        <v>Low Leisure Screen</v>
      </c>
      <c r="R217" s="2" t="str">
        <f t="shared" si="3"/>
        <v>High Total Screen</v>
      </c>
      <c r="S217" s="2" t="str">
        <f t="shared" si="4"/>
        <v>Higher Exercise</v>
      </c>
      <c r="T217" s="2" t="str">
        <f t="shared" si="5"/>
        <v>Lower Social</v>
      </c>
      <c r="AA217" s="1">
        <v>4.7</v>
      </c>
      <c r="AB217" s="2">
        <f t="shared" si="6"/>
        <v>1.740466175</v>
      </c>
    </row>
    <row r="218">
      <c r="A218" s="1" t="s">
        <v>285</v>
      </c>
      <c r="B218" s="1">
        <v>23.0</v>
      </c>
      <c r="C218" s="1" t="s">
        <v>30</v>
      </c>
      <c r="D218" s="1" t="s">
        <v>17</v>
      </c>
      <c r="E218" s="1" t="s">
        <v>27</v>
      </c>
      <c r="F218" s="1">
        <v>3.49</v>
      </c>
      <c r="G218" s="1">
        <v>0.52</v>
      </c>
      <c r="H218" s="1">
        <v>2.97</v>
      </c>
      <c r="I218" s="1">
        <v>7.59</v>
      </c>
      <c r="J218" s="1">
        <v>3.0</v>
      </c>
      <c r="K218" s="1">
        <v>1.9</v>
      </c>
      <c r="L218" s="1">
        <v>100.0</v>
      </c>
      <c r="M218" s="1">
        <v>173.0</v>
      </c>
      <c r="N218" s="1">
        <v>12.4</v>
      </c>
      <c r="O218" s="1">
        <v>77.7</v>
      </c>
      <c r="P218" s="2">
        <f t="shared" si="1"/>
        <v>0</v>
      </c>
      <c r="Q218" s="1" t="str">
        <f t="shared" si="2"/>
        <v>Low Leisure Screen</v>
      </c>
      <c r="R218" s="2" t="str">
        <f t="shared" si="3"/>
        <v>Low Total Screen</v>
      </c>
      <c r="S218" s="2" t="str">
        <f t="shared" si="4"/>
        <v/>
      </c>
      <c r="T218" s="2" t="str">
        <f t="shared" si="5"/>
        <v/>
      </c>
      <c r="AA218" s="1">
        <v>0.52</v>
      </c>
      <c r="AB218" s="2">
        <f t="shared" si="6"/>
        <v>0.4187103349</v>
      </c>
    </row>
    <row r="219">
      <c r="A219" s="1" t="s">
        <v>286</v>
      </c>
      <c r="B219" s="1">
        <v>28.0</v>
      </c>
      <c r="C219" s="1" t="s">
        <v>16</v>
      </c>
      <c r="D219" s="1" t="s">
        <v>17</v>
      </c>
      <c r="E219" s="1" t="s">
        <v>27</v>
      </c>
      <c r="F219" s="1">
        <v>15.38</v>
      </c>
      <c r="G219" s="1">
        <v>2.09</v>
      </c>
      <c r="H219" s="1">
        <v>13.29</v>
      </c>
      <c r="I219" s="1">
        <v>6.85</v>
      </c>
      <c r="J219" s="1">
        <v>1.0</v>
      </c>
      <c r="K219" s="1">
        <v>10.0</v>
      </c>
      <c r="L219" s="1">
        <v>32.6</v>
      </c>
      <c r="M219" s="1">
        <v>92.0</v>
      </c>
      <c r="N219" s="1">
        <v>4.0</v>
      </c>
      <c r="O219" s="1">
        <v>1.2</v>
      </c>
      <c r="P219" s="2">
        <f t="shared" si="1"/>
        <v>0</v>
      </c>
      <c r="Q219" s="1" t="str">
        <f t="shared" si="2"/>
        <v>High Leisure Screen</v>
      </c>
      <c r="R219" s="2" t="str">
        <f t="shared" si="3"/>
        <v>High Total Screen</v>
      </c>
      <c r="S219" s="2" t="str">
        <f t="shared" si="4"/>
        <v>Lower Exercise</v>
      </c>
      <c r="T219" s="2" t="str">
        <f t="shared" si="5"/>
        <v>Lower Social</v>
      </c>
      <c r="AA219" s="1">
        <v>2.09</v>
      </c>
      <c r="AB219" s="2">
        <f t="shared" si="6"/>
        <v>1.128171091</v>
      </c>
    </row>
    <row r="220">
      <c r="A220" s="1" t="s">
        <v>287</v>
      </c>
      <c r="B220" s="1">
        <v>26.0</v>
      </c>
      <c r="C220" s="1" t="s">
        <v>16</v>
      </c>
      <c r="D220" s="1" t="s">
        <v>17</v>
      </c>
      <c r="E220" s="1" t="s">
        <v>23</v>
      </c>
      <c r="F220" s="1">
        <v>11.64</v>
      </c>
      <c r="G220" s="1">
        <v>0.68</v>
      </c>
      <c r="H220" s="1">
        <v>10.96</v>
      </c>
      <c r="I220" s="1">
        <v>5.74</v>
      </c>
      <c r="J220" s="1">
        <v>1.0</v>
      </c>
      <c r="K220" s="1">
        <v>10.0</v>
      </c>
      <c r="L220" s="1">
        <v>38.1</v>
      </c>
      <c r="M220" s="1">
        <v>200.0</v>
      </c>
      <c r="N220" s="1">
        <v>7.4</v>
      </c>
      <c r="O220" s="1">
        <v>15.9</v>
      </c>
      <c r="P220" s="2">
        <f t="shared" si="1"/>
        <v>0</v>
      </c>
      <c r="Q220" s="1" t="str">
        <f t="shared" si="2"/>
        <v>High Leisure Screen</v>
      </c>
      <c r="R220" s="2" t="str">
        <f t="shared" si="3"/>
        <v>High Total Screen</v>
      </c>
      <c r="S220" s="2" t="str">
        <f t="shared" si="4"/>
        <v>Higher Exercise</v>
      </c>
      <c r="T220" s="2" t="str">
        <f t="shared" si="5"/>
        <v>Lower Social</v>
      </c>
      <c r="AA220" s="1">
        <v>0.68</v>
      </c>
      <c r="AB220" s="2">
        <f t="shared" si="6"/>
        <v>0.5187937934</v>
      </c>
    </row>
    <row r="221">
      <c r="A221" s="1" t="s">
        <v>288</v>
      </c>
      <c r="B221" s="1">
        <v>30.0</v>
      </c>
      <c r="C221" s="1" t="s">
        <v>30</v>
      </c>
      <c r="D221" s="1" t="s">
        <v>35</v>
      </c>
      <c r="E221" s="1" t="s">
        <v>27</v>
      </c>
      <c r="F221" s="1">
        <v>9.13</v>
      </c>
      <c r="G221" s="1">
        <v>0.98</v>
      </c>
      <c r="H221" s="1">
        <v>8.15</v>
      </c>
      <c r="I221" s="1">
        <v>6.54</v>
      </c>
      <c r="J221" s="1">
        <v>1.0</v>
      </c>
      <c r="K221" s="1">
        <v>8.4</v>
      </c>
      <c r="L221" s="1">
        <v>57.5</v>
      </c>
      <c r="M221" s="1">
        <v>120.0</v>
      </c>
      <c r="N221" s="1">
        <v>12.1</v>
      </c>
      <c r="O221" s="1">
        <v>14.5</v>
      </c>
      <c r="P221" s="2">
        <f t="shared" si="1"/>
        <v>0</v>
      </c>
      <c r="Q221" s="1" t="str">
        <f t="shared" si="2"/>
        <v>High Leisure Screen</v>
      </c>
      <c r="R221" s="2" t="str">
        <f t="shared" si="3"/>
        <v>High Total Screen</v>
      </c>
      <c r="S221" s="2" t="str">
        <f t="shared" si="4"/>
        <v>Higher Exercise</v>
      </c>
      <c r="T221" s="2" t="str">
        <f t="shared" si="5"/>
        <v>Higher Social</v>
      </c>
      <c r="AA221" s="1">
        <v>0.98</v>
      </c>
      <c r="AB221" s="2">
        <f t="shared" si="6"/>
        <v>0.6830968447</v>
      </c>
    </row>
    <row r="222">
      <c r="A222" s="1" t="s">
        <v>289</v>
      </c>
      <c r="B222" s="1">
        <v>48.0</v>
      </c>
      <c r="C222" s="1" t="s">
        <v>16</v>
      </c>
      <c r="D222" s="1" t="s">
        <v>17</v>
      </c>
      <c r="E222" s="1" t="s">
        <v>23</v>
      </c>
      <c r="F222" s="1">
        <v>7.48</v>
      </c>
      <c r="G222" s="1">
        <v>0.48</v>
      </c>
      <c r="H222" s="1">
        <v>7.0</v>
      </c>
      <c r="I222" s="1">
        <v>6.25</v>
      </c>
      <c r="J222" s="1">
        <v>1.0</v>
      </c>
      <c r="K222" s="1">
        <v>6.4</v>
      </c>
      <c r="L222" s="1">
        <v>70.8</v>
      </c>
      <c r="M222" s="1">
        <v>95.0</v>
      </c>
      <c r="N222" s="1">
        <v>4.1</v>
      </c>
      <c r="O222" s="1">
        <v>29.2</v>
      </c>
      <c r="P222" s="2">
        <f t="shared" si="1"/>
        <v>0</v>
      </c>
      <c r="Q222" s="1" t="str">
        <f t="shared" si="2"/>
        <v>High Leisure Screen</v>
      </c>
      <c r="R222" s="2" t="str">
        <f t="shared" si="3"/>
        <v>Low Total Screen</v>
      </c>
      <c r="S222" s="2" t="str">
        <f t="shared" si="4"/>
        <v/>
      </c>
      <c r="T222" s="2" t="str">
        <f t="shared" si="5"/>
        <v/>
      </c>
      <c r="AA222" s="1">
        <v>0.48</v>
      </c>
      <c r="AB222" s="2">
        <f t="shared" si="6"/>
        <v>0.3920420878</v>
      </c>
    </row>
    <row r="223">
      <c r="A223" s="1" t="s">
        <v>290</v>
      </c>
      <c r="B223" s="1">
        <v>16.0</v>
      </c>
      <c r="C223" s="1" t="s">
        <v>30</v>
      </c>
      <c r="D223" s="1" t="s">
        <v>17</v>
      </c>
      <c r="E223" s="1" t="s">
        <v>27</v>
      </c>
      <c r="F223" s="1">
        <v>10.03</v>
      </c>
      <c r="G223" s="1">
        <v>1.22</v>
      </c>
      <c r="H223" s="1">
        <v>8.81</v>
      </c>
      <c r="I223" s="1">
        <v>5.95</v>
      </c>
      <c r="J223" s="1">
        <v>1.0</v>
      </c>
      <c r="K223" s="1">
        <v>10.0</v>
      </c>
      <c r="L223" s="1">
        <v>46.8</v>
      </c>
      <c r="M223" s="1">
        <v>27.0</v>
      </c>
      <c r="N223" s="1">
        <v>15.1</v>
      </c>
      <c r="O223" s="1">
        <v>0.0</v>
      </c>
      <c r="P223" s="2">
        <f t="shared" si="1"/>
        <v>0</v>
      </c>
      <c r="Q223" s="1" t="str">
        <f t="shared" si="2"/>
        <v>High Leisure Screen</v>
      </c>
      <c r="R223" s="2" t="str">
        <f t="shared" si="3"/>
        <v>High Total Screen</v>
      </c>
      <c r="S223" s="2" t="str">
        <f t="shared" si="4"/>
        <v>Lower Exercise</v>
      </c>
      <c r="T223" s="2" t="str">
        <f t="shared" si="5"/>
        <v>Higher Social</v>
      </c>
      <c r="AA223" s="1">
        <v>1.22</v>
      </c>
      <c r="AB223" s="2">
        <f t="shared" si="6"/>
        <v>0.7975071959</v>
      </c>
    </row>
    <row r="224">
      <c r="A224" s="1" t="s">
        <v>291</v>
      </c>
      <c r="B224" s="1">
        <v>35.0</v>
      </c>
      <c r="C224" s="1" t="s">
        <v>30</v>
      </c>
      <c r="D224" s="1" t="s">
        <v>35</v>
      </c>
      <c r="E224" s="1" t="s">
        <v>18</v>
      </c>
      <c r="F224" s="1">
        <v>5.5</v>
      </c>
      <c r="G224" s="1">
        <v>1.97</v>
      </c>
      <c r="H224" s="1">
        <v>3.53</v>
      </c>
      <c r="I224" s="1">
        <v>6.68</v>
      </c>
      <c r="J224" s="1">
        <v>1.0</v>
      </c>
      <c r="K224" s="1">
        <v>5.4</v>
      </c>
      <c r="L224" s="1">
        <v>64.2</v>
      </c>
      <c r="M224" s="1">
        <v>145.0</v>
      </c>
      <c r="N224" s="1">
        <v>6.3</v>
      </c>
      <c r="O224" s="1">
        <v>32.1</v>
      </c>
      <c r="P224" s="2">
        <f t="shared" si="1"/>
        <v>0</v>
      </c>
      <c r="Q224" s="1" t="str">
        <f t="shared" si="2"/>
        <v>Low Leisure Screen</v>
      </c>
      <c r="R224" s="2" t="str">
        <f t="shared" si="3"/>
        <v>Low Total Screen</v>
      </c>
      <c r="S224" s="2" t="str">
        <f t="shared" si="4"/>
        <v/>
      </c>
      <c r="T224" s="2" t="str">
        <f t="shared" si="5"/>
        <v/>
      </c>
      <c r="AA224" s="1">
        <v>1.97</v>
      </c>
      <c r="AB224" s="2">
        <f t="shared" si="6"/>
        <v>1.088561953</v>
      </c>
    </row>
    <row r="225">
      <c r="A225" s="1" t="s">
        <v>292</v>
      </c>
      <c r="B225" s="1">
        <v>17.0</v>
      </c>
      <c r="C225" s="1" t="s">
        <v>30</v>
      </c>
      <c r="D225" s="1" t="s">
        <v>35</v>
      </c>
      <c r="E225" s="1" t="s">
        <v>27</v>
      </c>
      <c r="F225" s="1">
        <v>9.53</v>
      </c>
      <c r="G225" s="1">
        <v>2.23</v>
      </c>
      <c r="H225" s="1">
        <v>7.3</v>
      </c>
      <c r="I225" s="1">
        <v>7.64</v>
      </c>
      <c r="J225" s="1">
        <v>2.0</v>
      </c>
      <c r="K225" s="1">
        <v>10.0</v>
      </c>
      <c r="L225" s="1">
        <v>46.6</v>
      </c>
      <c r="M225" s="1">
        <v>0.0</v>
      </c>
      <c r="N225" s="1">
        <v>8.4</v>
      </c>
      <c r="O225" s="1">
        <v>0.0</v>
      </c>
      <c r="P225" s="2">
        <f t="shared" si="1"/>
        <v>0</v>
      </c>
      <c r="Q225" s="1" t="str">
        <f t="shared" si="2"/>
        <v>High Leisure Screen</v>
      </c>
      <c r="R225" s="2" t="str">
        <f t="shared" si="3"/>
        <v>High Total Screen</v>
      </c>
      <c r="S225" s="2" t="str">
        <f t="shared" si="4"/>
        <v>Lower Exercise</v>
      </c>
      <c r="T225" s="2" t="str">
        <f t="shared" si="5"/>
        <v>Higher Social</v>
      </c>
      <c r="AA225" s="1">
        <v>2.23</v>
      </c>
      <c r="AB225" s="2">
        <f t="shared" si="6"/>
        <v>1.172482137</v>
      </c>
    </row>
    <row r="226">
      <c r="A226" s="1" t="s">
        <v>293</v>
      </c>
      <c r="B226" s="1">
        <v>26.0</v>
      </c>
      <c r="C226" s="1" t="s">
        <v>16</v>
      </c>
      <c r="D226" s="1" t="s">
        <v>17</v>
      </c>
      <c r="E226" s="1" t="s">
        <v>23</v>
      </c>
      <c r="F226" s="1">
        <v>8.16</v>
      </c>
      <c r="G226" s="1">
        <v>0.92</v>
      </c>
      <c r="H226" s="1">
        <v>7.24</v>
      </c>
      <c r="I226" s="1">
        <v>6.58</v>
      </c>
      <c r="J226" s="1">
        <v>1.0</v>
      </c>
      <c r="K226" s="1">
        <v>7.4</v>
      </c>
      <c r="L226" s="1">
        <v>56.6</v>
      </c>
      <c r="M226" s="1">
        <v>94.0</v>
      </c>
      <c r="N226" s="1">
        <v>17.3</v>
      </c>
      <c r="O226" s="1">
        <v>23.2</v>
      </c>
      <c r="P226" s="2">
        <f t="shared" si="1"/>
        <v>0</v>
      </c>
      <c r="Q226" s="1" t="str">
        <f t="shared" si="2"/>
        <v>High Leisure Screen</v>
      </c>
      <c r="R226" s="2" t="str">
        <f t="shared" si="3"/>
        <v>Low Total Screen</v>
      </c>
      <c r="S226" s="2" t="str">
        <f t="shared" si="4"/>
        <v/>
      </c>
      <c r="T226" s="2" t="str">
        <f t="shared" si="5"/>
        <v/>
      </c>
      <c r="AA226" s="1">
        <v>0.92</v>
      </c>
      <c r="AB226" s="2">
        <f t="shared" si="6"/>
        <v>0.652325186</v>
      </c>
    </row>
    <row r="227">
      <c r="A227" s="1" t="s">
        <v>294</v>
      </c>
      <c r="B227" s="1">
        <v>38.0</v>
      </c>
      <c r="C227" s="1" t="s">
        <v>30</v>
      </c>
      <c r="D227" s="1" t="s">
        <v>35</v>
      </c>
      <c r="E227" s="1" t="s">
        <v>27</v>
      </c>
      <c r="F227" s="1">
        <v>9.32</v>
      </c>
      <c r="G227" s="1">
        <v>0.8</v>
      </c>
      <c r="H227" s="1">
        <v>8.52</v>
      </c>
      <c r="I227" s="1">
        <v>7.18</v>
      </c>
      <c r="J227" s="1">
        <v>1.0</v>
      </c>
      <c r="K227" s="1">
        <v>7.4</v>
      </c>
      <c r="L227" s="1">
        <v>56.3</v>
      </c>
      <c r="M227" s="1">
        <v>92.0</v>
      </c>
      <c r="N227" s="1">
        <v>0.0</v>
      </c>
      <c r="O227" s="1">
        <v>15.5</v>
      </c>
      <c r="P227" s="2">
        <f t="shared" si="1"/>
        <v>0</v>
      </c>
      <c r="Q227" s="1" t="str">
        <f t="shared" si="2"/>
        <v>High Leisure Screen</v>
      </c>
      <c r="R227" s="2" t="str">
        <f t="shared" si="3"/>
        <v>High Total Screen</v>
      </c>
      <c r="S227" s="2" t="str">
        <f t="shared" si="4"/>
        <v>Lower Exercise</v>
      </c>
      <c r="T227" s="2" t="str">
        <f t="shared" si="5"/>
        <v>Lower Social</v>
      </c>
      <c r="AA227" s="1">
        <v>0.8</v>
      </c>
      <c r="AB227" s="2">
        <f t="shared" si="6"/>
        <v>0.5877866649</v>
      </c>
    </row>
    <row r="228">
      <c r="A228" s="1" t="s">
        <v>295</v>
      </c>
      <c r="B228" s="1">
        <v>30.0</v>
      </c>
      <c r="C228" s="1" t="s">
        <v>30</v>
      </c>
      <c r="D228" s="1" t="s">
        <v>17</v>
      </c>
      <c r="E228" s="1" t="s">
        <v>23</v>
      </c>
      <c r="F228" s="1">
        <v>7.42</v>
      </c>
      <c r="G228" s="1">
        <v>1.06</v>
      </c>
      <c r="H228" s="1">
        <v>6.36</v>
      </c>
      <c r="I228" s="1">
        <v>6.98</v>
      </c>
      <c r="J228" s="1">
        <v>2.0</v>
      </c>
      <c r="K228" s="1">
        <v>3.5</v>
      </c>
      <c r="L228" s="1">
        <v>72.9</v>
      </c>
      <c r="M228" s="1">
        <v>18.0</v>
      </c>
      <c r="N228" s="1">
        <v>9.0</v>
      </c>
      <c r="O228" s="1">
        <v>43.2</v>
      </c>
      <c r="P228" s="2">
        <f t="shared" si="1"/>
        <v>0</v>
      </c>
      <c r="Q228" s="1" t="str">
        <f t="shared" si="2"/>
        <v>Low Leisure Screen</v>
      </c>
      <c r="R228" s="2" t="str">
        <f t="shared" si="3"/>
        <v>Low Total Screen</v>
      </c>
      <c r="S228" s="2" t="str">
        <f t="shared" si="4"/>
        <v/>
      </c>
      <c r="T228" s="2" t="str">
        <f t="shared" si="5"/>
        <v/>
      </c>
      <c r="AA228" s="1">
        <v>1.06</v>
      </c>
      <c r="AB228" s="2">
        <f t="shared" si="6"/>
        <v>0.7227059828</v>
      </c>
    </row>
    <row r="229">
      <c r="A229" s="1" t="s">
        <v>296</v>
      </c>
      <c r="B229" s="1">
        <v>21.0</v>
      </c>
      <c r="C229" s="1" t="s">
        <v>16</v>
      </c>
      <c r="D229" s="1" t="s">
        <v>17</v>
      </c>
      <c r="E229" s="1" t="s">
        <v>23</v>
      </c>
      <c r="F229" s="1">
        <v>8.06</v>
      </c>
      <c r="G229" s="1">
        <v>1.85</v>
      </c>
      <c r="H229" s="1">
        <v>6.21</v>
      </c>
      <c r="I229" s="1">
        <v>6.09</v>
      </c>
      <c r="J229" s="1">
        <v>1.0</v>
      </c>
      <c r="K229" s="1">
        <v>8.4</v>
      </c>
      <c r="L229" s="1">
        <v>56.6</v>
      </c>
      <c r="M229" s="1">
        <v>40.0</v>
      </c>
      <c r="N229" s="1">
        <v>12.6</v>
      </c>
      <c r="O229" s="1">
        <v>18.9</v>
      </c>
      <c r="P229" s="2">
        <f t="shared" si="1"/>
        <v>0</v>
      </c>
      <c r="Q229" s="1" t="str">
        <f t="shared" si="2"/>
        <v>Low Leisure Screen</v>
      </c>
      <c r="R229" s="2" t="str">
        <f t="shared" si="3"/>
        <v>Low Total Screen</v>
      </c>
      <c r="S229" s="2" t="str">
        <f t="shared" si="4"/>
        <v/>
      </c>
      <c r="T229" s="2" t="str">
        <f t="shared" si="5"/>
        <v/>
      </c>
      <c r="AA229" s="1">
        <v>1.85</v>
      </c>
      <c r="AB229" s="2">
        <f t="shared" si="6"/>
        <v>1.047318994</v>
      </c>
    </row>
    <row r="230">
      <c r="A230" s="1" t="s">
        <v>297</v>
      </c>
      <c r="B230" s="1">
        <v>24.0</v>
      </c>
      <c r="C230" s="1" t="s">
        <v>16</v>
      </c>
      <c r="D230" s="1" t="s">
        <v>17</v>
      </c>
      <c r="E230" s="1" t="s">
        <v>18</v>
      </c>
      <c r="F230" s="1">
        <v>9.51</v>
      </c>
      <c r="G230" s="1">
        <v>2.33</v>
      </c>
      <c r="H230" s="1">
        <v>7.18</v>
      </c>
      <c r="I230" s="1">
        <v>6.78</v>
      </c>
      <c r="J230" s="1">
        <v>1.0</v>
      </c>
      <c r="K230" s="1">
        <v>8.8</v>
      </c>
      <c r="L230" s="1">
        <v>49.0</v>
      </c>
      <c r="M230" s="1">
        <v>155.0</v>
      </c>
      <c r="N230" s="1">
        <v>11.1</v>
      </c>
      <c r="O230" s="1">
        <v>5.7</v>
      </c>
      <c r="P230" s="2">
        <f t="shared" si="1"/>
        <v>0</v>
      </c>
      <c r="Q230" s="1" t="str">
        <f t="shared" si="2"/>
        <v>High Leisure Screen</v>
      </c>
      <c r="R230" s="2" t="str">
        <f t="shared" si="3"/>
        <v>High Total Screen</v>
      </c>
      <c r="S230" s="2" t="str">
        <f t="shared" si="4"/>
        <v>Higher Exercise</v>
      </c>
      <c r="T230" s="2" t="str">
        <f t="shared" si="5"/>
        <v>Higher Social</v>
      </c>
      <c r="AA230" s="1">
        <v>2.33</v>
      </c>
      <c r="AB230" s="2">
        <f t="shared" si="6"/>
        <v>1.202972304</v>
      </c>
    </row>
    <row r="231">
      <c r="A231" s="1" t="s">
        <v>298</v>
      </c>
      <c r="B231" s="1">
        <v>35.0</v>
      </c>
      <c r="C231" s="1" t="s">
        <v>30</v>
      </c>
      <c r="D231" s="1" t="s">
        <v>17</v>
      </c>
      <c r="E231" s="1" t="s">
        <v>18</v>
      </c>
      <c r="F231" s="1">
        <v>11.85</v>
      </c>
      <c r="G231" s="1">
        <v>6.4</v>
      </c>
      <c r="H231" s="1">
        <v>5.45</v>
      </c>
      <c r="I231" s="1">
        <v>7.15</v>
      </c>
      <c r="J231" s="1">
        <v>1.0</v>
      </c>
      <c r="K231" s="1">
        <v>9.3</v>
      </c>
      <c r="L231" s="1">
        <v>32.7</v>
      </c>
      <c r="M231" s="1">
        <v>106.0</v>
      </c>
      <c r="N231" s="1">
        <v>4.7</v>
      </c>
      <c r="O231" s="1">
        <v>0.0</v>
      </c>
      <c r="P231" s="2">
        <f t="shared" si="1"/>
        <v>0</v>
      </c>
      <c r="Q231" s="1" t="str">
        <f t="shared" si="2"/>
        <v>Low Leisure Screen</v>
      </c>
      <c r="R231" s="2" t="str">
        <f t="shared" si="3"/>
        <v>High Total Screen</v>
      </c>
      <c r="S231" s="2" t="str">
        <f t="shared" si="4"/>
        <v>Higher Exercise</v>
      </c>
      <c r="T231" s="2" t="str">
        <f t="shared" si="5"/>
        <v>Lower Social</v>
      </c>
      <c r="AA231" s="1">
        <v>6.4</v>
      </c>
      <c r="AB231" s="2">
        <f t="shared" si="6"/>
        <v>2.00148</v>
      </c>
    </row>
    <row r="232">
      <c r="A232" s="1" t="s">
        <v>299</v>
      </c>
      <c r="B232" s="1">
        <v>24.0</v>
      </c>
      <c r="C232" s="1" t="s">
        <v>30</v>
      </c>
      <c r="D232" s="1" t="s">
        <v>32</v>
      </c>
      <c r="E232" s="1" t="s">
        <v>27</v>
      </c>
      <c r="F232" s="1">
        <v>10.64</v>
      </c>
      <c r="G232" s="1">
        <v>1.25</v>
      </c>
      <c r="H232" s="1">
        <v>9.39</v>
      </c>
      <c r="I232" s="1">
        <v>5.78</v>
      </c>
      <c r="J232" s="1">
        <v>1.0</v>
      </c>
      <c r="K232" s="1">
        <v>10.0</v>
      </c>
      <c r="L232" s="1">
        <v>36.5</v>
      </c>
      <c r="M232" s="1">
        <v>98.0</v>
      </c>
      <c r="N232" s="1">
        <v>3.1</v>
      </c>
      <c r="O232" s="1">
        <v>8.6</v>
      </c>
      <c r="P232" s="2">
        <f t="shared" si="1"/>
        <v>0</v>
      </c>
      <c r="Q232" s="1" t="str">
        <f t="shared" si="2"/>
        <v>High Leisure Screen</v>
      </c>
      <c r="R232" s="2" t="str">
        <f t="shared" si="3"/>
        <v>High Total Screen</v>
      </c>
      <c r="S232" s="2" t="str">
        <f t="shared" si="4"/>
        <v>Lower Exercise</v>
      </c>
      <c r="T232" s="2" t="str">
        <f t="shared" si="5"/>
        <v>Lower Social</v>
      </c>
      <c r="AA232" s="1">
        <v>1.25</v>
      </c>
      <c r="AB232" s="2">
        <f t="shared" si="6"/>
        <v>0.8109302162</v>
      </c>
    </row>
    <row r="233">
      <c r="A233" s="1" t="s">
        <v>300</v>
      </c>
      <c r="B233" s="1">
        <v>31.0</v>
      </c>
      <c r="C233" s="1" t="s">
        <v>30</v>
      </c>
      <c r="D233" s="1" t="s">
        <v>35</v>
      </c>
      <c r="E233" s="1" t="s">
        <v>27</v>
      </c>
      <c r="F233" s="1">
        <v>7.51</v>
      </c>
      <c r="G233" s="1">
        <v>0.73</v>
      </c>
      <c r="H233" s="1">
        <v>6.78</v>
      </c>
      <c r="I233" s="1">
        <v>7.93</v>
      </c>
      <c r="J233" s="1">
        <v>2.0</v>
      </c>
      <c r="K233" s="1">
        <v>7.8</v>
      </c>
      <c r="L233" s="1">
        <v>58.5</v>
      </c>
      <c r="M233" s="1">
        <v>135.0</v>
      </c>
      <c r="N233" s="1">
        <v>12.2</v>
      </c>
      <c r="O233" s="1">
        <v>20.1</v>
      </c>
      <c r="P233" s="2">
        <f t="shared" si="1"/>
        <v>0</v>
      </c>
      <c r="Q233" s="1" t="str">
        <f t="shared" si="2"/>
        <v>High Leisure Screen</v>
      </c>
      <c r="R233" s="2" t="str">
        <f t="shared" si="3"/>
        <v>Low Total Screen</v>
      </c>
      <c r="S233" s="2" t="str">
        <f t="shared" si="4"/>
        <v/>
      </c>
      <c r="T233" s="2" t="str">
        <f t="shared" si="5"/>
        <v/>
      </c>
      <c r="AA233" s="1">
        <v>0.73</v>
      </c>
      <c r="AB233" s="2">
        <f t="shared" si="6"/>
        <v>0.5481214085</v>
      </c>
    </row>
    <row r="234">
      <c r="A234" s="1" t="s">
        <v>301</v>
      </c>
      <c r="B234" s="1">
        <v>30.0</v>
      </c>
      <c r="C234" s="1" t="s">
        <v>30</v>
      </c>
      <c r="D234" s="1" t="s">
        <v>35</v>
      </c>
      <c r="E234" s="1" t="s">
        <v>23</v>
      </c>
      <c r="F234" s="1">
        <v>6.2</v>
      </c>
      <c r="G234" s="1">
        <v>0.31</v>
      </c>
      <c r="H234" s="1">
        <v>5.89</v>
      </c>
      <c r="I234" s="1">
        <v>6.79</v>
      </c>
      <c r="J234" s="1">
        <v>1.0</v>
      </c>
      <c r="K234" s="1">
        <v>6.9</v>
      </c>
      <c r="L234" s="1">
        <v>60.7</v>
      </c>
      <c r="M234" s="1">
        <v>127.0</v>
      </c>
      <c r="N234" s="1">
        <v>14.2</v>
      </c>
      <c r="O234" s="1">
        <v>16.5</v>
      </c>
      <c r="P234" s="2">
        <f t="shared" si="1"/>
        <v>0</v>
      </c>
      <c r="Q234" s="1" t="str">
        <f t="shared" si="2"/>
        <v>Low Leisure Screen</v>
      </c>
      <c r="R234" s="2" t="str">
        <f t="shared" si="3"/>
        <v>Low Total Screen</v>
      </c>
      <c r="S234" s="2" t="str">
        <f t="shared" si="4"/>
        <v/>
      </c>
      <c r="T234" s="2" t="str">
        <f t="shared" si="5"/>
        <v/>
      </c>
      <c r="AA234" s="1">
        <v>0.31</v>
      </c>
      <c r="AB234" s="2">
        <f t="shared" si="6"/>
        <v>0.2700271372</v>
      </c>
    </row>
    <row r="235">
      <c r="A235" s="1" t="s">
        <v>302</v>
      </c>
      <c r="B235" s="1">
        <v>24.0</v>
      </c>
      <c r="C235" s="1" t="s">
        <v>30</v>
      </c>
      <c r="D235" s="1" t="s">
        <v>32</v>
      </c>
      <c r="E235" s="1" t="s">
        <v>23</v>
      </c>
      <c r="F235" s="1">
        <v>7.26</v>
      </c>
      <c r="G235" s="1">
        <v>0.96</v>
      </c>
      <c r="H235" s="1">
        <v>6.3</v>
      </c>
      <c r="I235" s="1">
        <v>6.86</v>
      </c>
      <c r="J235" s="1">
        <v>1.0</v>
      </c>
      <c r="K235" s="1">
        <v>9.9</v>
      </c>
      <c r="L235" s="1">
        <v>58.8</v>
      </c>
      <c r="M235" s="1">
        <v>198.0</v>
      </c>
      <c r="N235" s="1">
        <v>3.1</v>
      </c>
      <c r="O235" s="1">
        <v>13.3</v>
      </c>
      <c r="P235" s="2">
        <f t="shared" si="1"/>
        <v>0</v>
      </c>
      <c r="Q235" s="1" t="str">
        <f t="shared" si="2"/>
        <v>Low Leisure Screen</v>
      </c>
      <c r="R235" s="2" t="str">
        <f t="shared" si="3"/>
        <v>Low Total Screen</v>
      </c>
      <c r="S235" s="2" t="str">
        <f t="shared" si="4"/>
        <v/>
      </c>
      <c r="T235" s="2" t="str">
        <f t="shared" si="5"/>
        <v/>
      </c>
      <c r="AA235" s="1">
        <v>0.96</v>
      </c>
      <c r="AB235" s="2">
        <f t="shared" si="6"/>
        <v>0.6729444732</v>
      </c>
    </row>
    <row r="236">
      <c r="A236" s="1" t="s">
        <v>303</v>
      </c>
      <c r="B236" s="1">
        <v>47.0</v>
      </c>
      <c r="C236" s="1" t="s">
        <v>16</v>
      </c>
      <c r="D236" s="1" t="s">
        <v>35</v>
      </c>
      <c r="E236" s="1" t="s">
        <v>18</v>
      </c>
      <c r="F236" s="1">
        <v>10.23</v>
      </c>
      <c r="G236" s="1">
        <v>3.11</v>
      </c>
      <c r="H236" s="1">
        <v>7.12</v>
      </c>
      <c r="I236" s="1">
        <v>7.46</v>
      </c>
      <c r="J236" s="1">
        <v>1.0</v>
      </c>
      <c r="K236" s="1">
        <v>10.0</v>
      </c>
      <c r="L236" s="1">
        <v>44.1</v>
      </c>
      <c r="M236" s="1">
        <v>114.0</v>
      </c>
      <c r="N236" s="1">
        <v>0.7</v>
      </c>
      <c r="O236" s="1">
        <v>10.1</v>
      </c>
      <c r="P236" s="2">
        <f t="shared" si="1"/>
        <v>0</v>
      </c>
      <c r="Q236" s="1" t="str">
        <f t="shared" si="2"/>
        <v>High Leisure Screen</v>
      </c>
      <c r="R236" s="2" t="str">
        <f t="shared" si="3"/>
        <v>High Total Screen</v>
      </c>
      <c r="S236" s="2" t="str">
        <f t="shared" si="4"/>
        <v>Higher Exercise</v>
      </c>
      <c r="T236" s="2" t="str">
        <f t="shared" si="5"/>
        <v>Lower Social</v>
      </c>
      <c r="AA236" s="1">
        <v>3.11</v>
      </c>
      <c r="AB236" s="2">
        <f t="shared" si="6"/>
        <v>1.413423029</v>
      </c>
    </row>
    <row r="237">
      <c r="A237" s="1" t="s">
        <v>304</v>
      </c>
      <c r="B237" s="1">
        <v>35.0</v>
      </c>
      <c r="C237" s="1" t="s">
        <v>16</v>
      </c>
      <c r="D237" s="1" t="s">
        <v>32</v>
      </c>
      <c r="E237" s="1" t="s">
        <v>18</v>
      </c>
      <c r="F237" s="1">
        <v>10.18</v>
      </c>
      <c r="G237" s="1">
        <v>5.4</v>
      </c>
      <c r="H237" s="1">
        <v>4.78</v>
      </c>
      <c r="I237" s="1">
        <v>6.39</v>
      </c>
      <c r="J237" s="1">
        <v>1.0</v>
      </c>
      <c r="K237" s="1">
        <v>8.9</v>
      </c>
      <c r="L237" s="1">
        <v>42.1</v>
      </c>
      <c r="M237" s="1">
        <v>0.0</v>
      </c>
      <c r="N237" s="1">
        <v>8.1</v>
      </c>
      <c r="O237" s="1">
        <v>0.0</v>
      </c>
      <c r="P237" s="2">
        <f t="shared" si="1"/>
        <v>0</v>
      </c>
      <c r="Q237" s="1" t="str">
        <f t="shared" si="2"/>
        <v>Low Leisure Screen</v>
      </c>
      <c r="R237" s="2" t="str">
        <f t="shared" si="3"/>
        <v>High Total Screen</v>
      </c>
      <c r="S237" s="2" t="str">
        <f t="shared" si="4"/>
        <v>Lower Exercise</v>
      </c>
      <c r="T237" s="2" t="str">
        <f t="shared" si="5"/>
        <v>Higher Social</v>
      </c>
      <c r="AA237" s="1">
        <v>5.4</v>
      </c>
      <c r="AB237" s="2">
        <f t="shared" si="6"/>
        <v>1.85629799</v>
      </c>
    </row>
    <row r="238">
      <c r="A238" s="1" t="s">
        <v>305</v>
      </c>
      <c r="B238" s="1">
        <v>16.0</v>
      </c>
      <c r="C238" s="1" t="s">
        <v>16</v>
      </c>
      <c r="D238" s="1" t="s">
        <v>17</v>
      </c>
      <c r="E238" s="1" t="s">
        <v>23</v>
      </c>
      <c r="F238" s="1">
        <v>8.98</v>
      </c>
      <c r="G238" s="1">
        <v>1.47</v>
      </c>
      <c r="H238" s="1">
        <v>7.51</v>
      </c>
      <c r="I238" s="1">
        <v>6.94</v>
      </c>
      <c r="J238" s="1">
        <v>1.0</v>
      </c>
      <c r="K238" s="1">
        <v>7.6</v>
      </c>
      <c r="L238" s="1">
        <v>55.5</v>
      </c>
      <c r="M238" s="1">
        <v>211.0</v>
      </c>
      <c r="N238" s="1">
        <v>7.3</v>
      </c>
      <c r="O238" s="1">
        <v>24.7</v>
      </c>
      <c r="P238" s="2">
        <f t="shared" si="1"/>
        <v>0</v>
      </c>
      <c r="Q238" s="1" t="str">
        <f t="shared" si="2"/>
        <v>High Leisure Screen</v>
      </c>
      <c r="R238" s="2" t="str">
        <f t="shared" si="3"/>
        <v>Low Total Screen</v>
      </c>
      <c r="S238" s="2" t="str">
        <f t="shared" si="4"/>
        <v/>
      </c>
      <c r="T238" s="2" t="str">
        <f t="shared" si="5"/>
        <v/>
      </c>
      <c r="AA238" s="1">
        <v>1.47</v>
      </c>
      <c r="AB238" s="2">
        <f t="shared" si="6"/>
        <v>0.9042181506</v>
      </c>
    </row>
    <row r="239">
      <c r="A239" s="1" t="s">
        <v>306</v>
      </c>
      <c r="B239" s="1">
        <v>31.0</v>
      </c>
      <c r="C239" s="1" t="s">
        <v>30</v>
      </c>
      <c r="D239" s="1" t="s">
        <v>17</v>
      </c>
      <c r="E239" s="1" t="s">
        <v>27</v>
      </c>
      <c r="F239" s="1">
        <v>10.39</v>
      </c>
      <c r="G239" s="1">
        <v>0.96</v>
      </c>
      <c r="H239" s="1">
        <v>9.43</v>
      </c>
      <c r="I239" s="1">
        <v>6.6</v>
      </c>
      <c r="J239" s="1">
        <v>2.0</v>
      </c>
      <c r="K239" s="1">
        <v>10.0</v>
      </c>
      <c r="L239" s="1">
        <v>46.3</v>
      </c>
      <c r="M239" s="1">
        <v>122.0</v>
      </c>
      <c r="N239" s="1">
        <v>6.3</v>
      </c>
      <c r="O239" s="1">
        <v>15.8</v>
      </c>
      <c r="P239" s="2">
        <f t="shared" si="1"/>
        <v>0</v>
      </c>
      <c r="Q239" s="1" t="str">
        <f t="shared" si="2"/>
        <v>High Leisure Screen</v>
      </c>
      <c r="R239" s="2" t="str">
        <f t="shared" si="3"/>
        <v>High Total Screen</v>
      </c>
      <c r="S239" s="2" t="str">
        <f t="shared" si="4"/>
        <v>Higher Exercise</v>
      </c>
      <c r="T239" s="2" t="str">
        <f t="shared" si="5"/>
        <v>Lower Social</v>
      </c>
      <c r="AA239" s="1">
        <v>0.96</v>
      </c>
      <c r="AB239" s="2">
        <f t="shared" si="6"/>
        <v>0.6729444732</v>
      </c>
    </row>
    <row r="240">
      <c r="A240" s="1" t="s">
        <v>307</v>
      </c>
      <c r="B240" s="1">
        <v>24.0</v>
      </c>
      <c r="C240" s="1" t="s">
        <v>16</v>
      </c>
      <c r="D240" s="1" t="s">
        <v>32</v>
      </c>
      <c r="E240" s="1" t="s">
        <v>23</v>
      </c>
      <c r="F240" s="1">
        <v>8.71</v>
      </c>
      <c r="G240" s="1">
        <v>0.48</v>
      </c>
      <c r="H240" s="1">
        <v>8.23</v>
      </c>
      <c r="I240" s="1">
        <v>7.14</v>
      </c>
      <c r="J240" s="1">
        <v>1.0</v>
      </c>
      <c r="K240" s="1">
        <v>9.6</v>
      </c>
      <c r="L240" s="1">
        <v>48.5</v>
      </c>
      <c r="M240" s="1">
        <v>61.0</v>
      </c>
      <c r="N240" s="1">
        <v>10.9</v>
      </c>
      <c r="O240" s="1">
        <v>0.0</v>
      </c>
      <c r="P240" s="2">
        <f t="shared" si="1"/>
        <v>0</v>
      </c>
      <c r="Q240" s="1" t="str">
        <f t="shared" si="2"/>
        <v>High Leisure Screen</v>
      </c>
      <c r="R240" s="2" t="str">
        <f t="shared" si="3"/>
        <v>Low Total Screen</v>
      </c>
      <c r="S240" s="2" t="str">
        <f t="shared" si="4"/>
        <v/>
      </c>
      <c r="T240" s="2" t="str">
        <f t="shared" si="5"/>
        <v/>
      </c>
      <c r="AA240" s="1">
        <v>0.48</v>
      </c>
      <c r="AB240" s="2">
        <f t="shared" si="6"/>
        <v>0.3920420878</v>
      </c>
    </row>
    <row r="241">
      <c r="A241" s="1" t="s">
        <v>308</v>
      </c>
      <c r="B241" s="1">
        <v>36.0</v>
      </c>
      <c r="C241" s="1" t="s">
        <v>30</v>
      </c>
      <c r="D241" s="1" t="s">
        <v>35</v>
      </c>
      <c r="E241" s="1" t="s">
        <v>27</v>
      </c>
      <c r="F241" s="1">
        <v>9.04</v>
      </c>
      <c r="G241" s="1">
        <v>0.45</v>
      </c>
      <c r="H241" s="1">
        <v>8.59</v>
      </c>
      <c r="I241" s="1">
        <v>5.2</v>
      </c>
      <c r="J241" s="1">
        <v>1.0</v>
      </c>
      <c r="K241" s="1">
        <v>9.5</v>
      </c>
      <c r="L241" s="1">
        <v>49.9</v>
      </c>
      <c r="M241" s="1">
        <v>19.0</v>
      </c>
      <c r="N241" s="1">
        <v>7.3</v>
      </c>
      <c r="O241" s="1">
        <v>10.5</v>
      </c>
      <c r="P241" s="2">
        <f t="shared" si="1"/>
        <v>0</v>
      </c>
      <c r="Q241" s="1" t="str">
        <f t="shared" si="2"/>
        <v>High Leisure Screen</v>
      </c>
      <c r="R241" s="2" t="str">
        <f t="shared" si="3"/>
        <v>Low Total Screen</v>
      </c>
      <c r="S241" s="2" t="str">
        <f t="shared" si="4"/>
        <v/>
      </c>
      <c r="T241" s="2" t="str">
        <f t="shared" si="5"/>
        <v/>
      </c>
      <c r="AA241" s="1">
        <v>0.45</v>
      </c>
      <c r="AB241" s="2">
        <f t="shared" si="6"/>
        <v>0.3715635564</v>
      </c>
    </row>
    <row r="242">
      <c r="A242" s="1" t="s">
        <v>309</v>
      </c>
      <c r="B242" s="1">
        <v>23.0</v>
      </c>
      <c r="C242" s="1" t="s">
        <v>30</v>
      </c>
      <c r="D242" s="1" t="s">
        <v>35</v>
      </c>
      <c r="E242" s="1" t="s">
        <v>27</v>
      </c>
      <c r="F242" s="1">
        <v>7.05</v>
      </c>
      <c r="G242" s="1">
        <v>1.19</v>
      </c>
      <c r="H242" s="1">
        <v>5.86</v>
      </c>
      <c r="I242" s="1">
        <v>5.81</v>
      </c>
      <c r="J242" s="1">
        <v>1.0</v>
      </c>
      <c r="K242" s="1">
        <v>6.4</v>
      </c>
      <c r="L242" s="1">
        <v>69.1</v>
      </c>
      <c r="M242" s="1">
        <v>140.0</v>
      </c>
      <c r="N242" s="1">
        <v>0.0</v>
      </c>
      <c r="O242" s="1">
        <v>37.1</v>
      </c>
      <c r="P242" s="2">
        <f t="shared" si="1"/>
        <v>0</v>
      </c>
      <c r="Q242" s="1" t="str">
        <f t="shared" si="2"/>
        <v>Low Leisure Screen</v>
      </c>
      <c r="R242" s="2" t="str">
        <f t="shared" si="3"/>
        <v>Low Total Screen</v>
      </c>
      <c r="S242" s="2" t="str">
        <f t="shared" si="4"/>
        <v/>
      </c>
      <c r="T242" s="2" t="str">
        <f t="shared" si="5"/>
        <v/>
      </c>
      <c r="AA242" s="1">
        <v>1.19</v>
      </c>
      <c r="AB242" s="2">
        <f t="shared" si="6"/>
        <v>0.7839015438</v>
      </c>
    </row>
    <row r="243">
      <c r="A243" s="1" t="s">
        <v>310</v>
      </c>
      <c r="B243" s="1">
        <v>29.0</v>
      </c>
      <c r="C243" s="1" t="s">
        <v>30</v>
      </c>
      <c r="D243" s="1" t="s">
        <v>17</v>
      </c>
      <c r="E243" s="1" t="s">
        <v>18</v>
      </c>
      <c r="F243" s="1">
        <v>7.76</v>
      </c>
      <c r="G243" s="1">
        <v>2.5</v>
      </c>
      <c r="H243" s="1">
        <v>5.26</v>
      </c>
      <c r="I243" s="1">
        <v>7.72</v>
      </c>
      <c r="J243" s="1">
        <v>2.0</v>
      </c>
      <c r="K243" s="1">
        <v>7.9</v>
      </c>
      <c r="L243" s="1">
        <v>60.6</v>
      </c>
      <c r="M243" s="1">
        <v>103.0</v>
      </c>
      <c r="N243" s="1">
        <v>2.4</v>
      </c>
      <c r="O243" s="1">
        <v>26.2</v>
      </c>
      <c r="P243" s="2">
        <f t="shared" si="1"/>
        <v>0</v>
      </c>
      <c r="Q243" s="1" t="str">
        <f t="shared" si="2"/>
        <v>Low Leisure Screen</v>
      </c>
      <c r="R243" s="2" t="str">
        <f t="shared" si="3"/>
        <v>Low Total Screen</v>
      </c>
      <c r="S243" s="2" t="str">
        <f t="shared" si="4"/>
        <v/>
      </c>
      <c r="T243" s="2" t="str">
        <f t="shared" si="5"/>
        <v/>
      </c>
      <c r="AA243" s="1">
        <v>2.5</v>
      </c>
      <c r="AB243" s="2">
        <f t="shared" si="6"/>
        <v>1.252762968</v>
      </c>
    </row>
    <row r="244">
      <c r="A244" s="1" t="s">
        <v>311</v>
      </c>
      <c r="B244" s="1">
        <v>34.0</v>
      </c>
      <c r="C244" s="1" t="s">
        <v>16</v>
      </c>
      <c r="D244" s="1" t="s">
        <v>32</v>
      </c>
      <c r="E244" s="1" t="s">
        <v>27</v>
      </c>
      <c r="F244" s="1">
        <v>6.86</v>
      </c>
      <c r="G244" s="1">
        <v>0.72</v>
      </c>
      <c r="H244" s="1">
        <v>6.14</v>
      </c>
      <c r="I244" s="1">
        <v>8.24</v>
      </c>
      <c r="J244" s="1">
        <v>2.0</v>
      </c>
      <c r="K244" s="1">
        <v>5.2</v>
      </c>
      <c r="L244" s="1">
        <v>82.7</v>
      </c>
      <c r="M244" s="1">
        <v>229.0</v>
      </c>
      <c r="N244" s="1">
        <v>10.0</v>
      </c>
      <c r="O244" s="1">
        <v>61.1</v>
      </c>
      <c r="P244" s="2">
        <f t="shared" si="1"/>
        <v>0</v>
      </c>
      <c r="Q244" s="1" t="str">
        <f t="shared" si="2"/>
        <v>Low Leisure Screen</v>
      </c>
      <c r="R244" s="2" t="str">
        <f t="shared" si="3"/>
        <v>Low Total Screen</v>
      </c>
      <c r="S244" s="2" t="str">
        <f t="shared" si="4"/>
        <v/>
      </c>
      <c r="T244" s="2" t="str">
        <f t="shared" si="5"/>
        <v/>
      </c>
      <c r="AA244" s="1">
        <v>0.72</v>
      </c>
      <c r="AB244" s="2">
        <f t="shared" si="6"/>
        <v>0.5423242908</v>
      </c>
    </row>
    <row r="245">
      <c r="A245" s="1" t="s">
        <v>312</v>
      </c>
      <c r="B245" s="1">
        <v>36.0</v>
      </c>
      <c r="C245" s="1" t="s">
        <v>30</v>
      </c>
      <c r="D245" s="1" t="s">
        <v>17</v>
      </c>
      <c r="E245" s="1" t="s">
        <v>27</v>
      </c>
      <c r="F245" s="1">
        <v>10.39</v>
      </c>
      <c r="G245" s="1">
        <v>0.57</v>
      </c>
      <c r="H245" s="1">
        <v>9.82</v>
      </c>
      <c r="I245" s="1">
        <v>6.17</v>
      </c>
      <c r="J245" s="1">
        <v>1.0</v>
      </c>
      <c r="K245" s="1">
        <v>10.0</v>
      </c>
      <c r="L245" s="1">
        <v>47.9</v>
      </c>
      <c r="M245" s="1">
        <v>74.0</v>
      </c>
      <c r="N245" s="1">
        <v>6.4</v>
      </c>
      <c r="O245" s="1">
        <v>10.6</v>
      </c>
      <c r="P245" s="2">
        <f t="shared" si="1"/>
        <v>0</v>
      </c>
      <c r="Q245" s="1" t="str">
        <f t="shared" si="2"/>
        <v>High Leisure Screen</v>
      </c>
      <c r="R245" s="2" t="str">
        <f t="shared" si="3"/>
        <v>High Total Screen</v>
      </c>
      <c r="S245" s="2" t="str">
        <f t="shared" si="4"/>
        <v>Lower Exercise</v>
      </c>
      <c r="T245" s="2" t="str">
        <f t="shared" si="5"/>
        <v>Lower Social</v>
      </c>
      <c r="AA245" s="1">
        <v>0.57</v>
      </c>
      <c r="AB245" s="2">
        <f t="shared" si="6"/>
        <v>0.4510756194</v>
      </c>
    </row>
    <row r="246">
      <c r="A246" s="1" t="s">
        <v>313</v>
      </c>
      <c r="B246" s="1">
        <v>20.0</v>
      </c>
      <c r="C246" s="1" t="s">
        <v>16</v>
      </c>
      <c r="D246" s="1" t="s">
        <v>17</v>
      </c>
      <c r="E246" s="1" t="s">
        <v>27</v>
      </c>
      <c r="F246" s="1">
        <v>10.13</v>
      </c>
      <c r="G246" s="1">
        <v>0.51</v>
      </c>
      <c r="H246" s="1">
        <v>9.62</v>
      </c>
      <c r="I246" s="1">
        <v>6.59</v>
      </c>
      <c r="J246" s="1">
        <v>1.0</v>
      </c>
      <c r="K246" s="1">
        <v>10.0</v>
      </c>
      <c r="L246" s="1">
        <v>38.6</v>
      </c>
      <c r="M246" s="1">
        <v>34.0</v>
      </c>
      <c r="N246" s="1">
        <v>0.0</v>
      </c>
      <c r="O246" s="1">
        <v>0.0</v>
      </c>
      <c r="P246" s="2">
        <f t="shared" si="1"/>
        <v>0</v>
      </c>
      <c r="Q246" s="1" t="str">
        <f t="shared" si="2"/>
        <v>High Leisure Screen</v>
      </c>
      <c r="R246" s="2" t="str">
        <f t="shared" si="3"/>
        <v>High Total Screen</v>
      </c>
      <c r="S246" s="2" t="str">
        <f t="shared" si="4"/>
        <v>Lower Exercise</v>
      </c>
      <c r="T246" s="2" t="str">
        <f t="shared" si="5"/>
        <v>Lower Social</v>
      </c>
      <c r="AA246" s="1">
        <v>0.51</v>
      </c>
      <c r="AB246" s="2">
        <f t="shared" si="6"/>
        <v>0.4121096508</v>
      </c>
    </row>
    <row r="247">
      <c r="A247" s="1" t="s">
        <v>314</v>
      </c>
      <c r="B247" s="1">
        <v>27.0</v>
      </c>
      <c r="C247" s="1" t="s">
        <v>30</v>
      </c>
      <c r="D247" s="1" t="s">
        <v>37</v>
      </c>
      <c r="E247" s="1" t="s">
        <v>18</v>
      </c>
      <c r="F247" s="1">
        <v>8.8</v>
      </c>
      <c r="G247" s="1">
        <v>6.69</v>
      </c>
      <c r="H247" s="1">
        <v>2.11</v>
      </c>
      <c r="I247" s="1">
        <v>7.29</v>
      </c>
      <c r="J247" s="1">
        <v>2.0</v>
      </c>
      <c r="K247" s="1">
        <v>6.8</v>
      </c>
      <c r="L247" s="1">
        <v>76.9</v>
      </c>
      <c r="M247" s="1">
        <v>166.0</v>
      </c>
      <c r="N247" s="1">
        <v>0.0</v>
      </c>
      <c r="O247" s="1">
        <v>39.0</v>
      </c>
      <c r="P247" s="2">
        <f t="shared" si="1"/>
        <v>0</v>
      </c>
      <c r="Q247" s="1" t="str">
        <f t="shared" si="2"/>
        <v>Low Leisure Screen</v>
      </c>
      <c r="R247" s="2" t="str">
        <f t="shared" si="3"/>
        <v>Low Total Screen</v>
      </c>
      <c r="S247" s="2" t="str">
        <f t="shared" si="4"/>
        <v/>
      </c>
      <c r="T247" s="2" t="str">
        <f t="shared" si="5"/>
        <v/>
      </c>
      <c r="AA247" s="1">
        <v>6.69</v>
      </c>
      <c r="AB247" s="2">
        <f t="shared" si="6"/>
        <v>2.039920784</v>
      </c>
    </row>
    <row r="248">
      <c r="A248" s="1" t="s">
        <v>315</v>
      </c>
      <c r="B248" s="1">
        <v>26.0</v>
      </c>
      <c r="C248" s="1" t="s">
        <v>16</v>
      </c>
      <c r="D248" s="1" t="s">
        <v>17</v>
      </c>
      <c r="E248" s="1" t="s">
        <v>23</v>
      </c>
      <c r="F248" s="1">
        <v>8.45</v>
      </c>
      <c r="G248" s="1">
        <v>1.83</v>
      </c>
      <c r="H248" s="1">
        <v>6.62</v>
      </c>
      <c r="I248" s="1">
        <v>7.65</v>
      </c>
      <c r="J248" s="1">
        <v>2.0</v>
      </c>
      <c r="K248" s="1">
        <v>5.2</v>
      </c>
      <c r="L248" s="1">
        <v>72.5</v>
      </c>
      <c r="M248" s="1">
        <v>170.0</v>
      </c>
      <c r="N248" s="1">
        <v>8.3</v>
      </c>
      <c r="O248" s="1">
        <v>42.2</v>
      </c>
      <c r="P248" s="2">
        <f t="shared" si="1"/>
        <v>0</v>
      </c>
      <c r="Q248" s="1" t="str">
        <f t="shared" si="2"/>
        <v>Low Leisure Screen</v>
      </c>
      <c r="R248" s="2" t="str">
        <f t="shared" si="3"/>
        <v>Low Total Screen</v>
      </c>
      <c r="S248" s="2" t="str">
        <f t="shared" si="4"/>
        <v/>
      </c>
      <c r="T248" s="2" t="str">
        <f t="shared" si="5"/>
        <v/>
      </c>
      <c r="AA248" s="1">
        <v>1.83</v>
      </c>
      <c r="AB248" s="2">
        <f t="shared" si="6"/>
        <v>1.040276712</v>
      </c>
    </row>
    <row r="249">
      <c r="A249" s="1" t="s">
        <v>316</v>
      </c>
      <c r="B249" s="1">
        <v>24.0</v>
      </c>
      <c r="C249" s="1" t="s">
        <v>16</v>
      </c>
      <c r="D249" s="1" t="s">
        <v>17</v>
      </c>
      <c r="E249" s="1" t="s">
        <v>23</v>
      </c>
      <c r="F249" s="1">
        <v>10.13</v>
      </c>
      <c r="G249" s="1">
        <v>2.55</v>
      </c>
      <c r="H249" s="1">
        <v>7.58</v>
      </c>
      <c r="I249" s="1">
        <v>5.2</v>
      </c>
      <c r="J249" s="1">
        <v>1.0</v>
      </c>
      <c r="K249" s="1">
        <v>8.5</v>
      </c>
      <c r="L249" s="1">
        <v>43.8</v>
      </c>
      <c r="M249" s="1">
        <v>106.0</v>
      </c>
      <c r="N249" s="1">
        <v>14.5</v>
      </c>
      <c r="O249" s="1">
        <v>10.2</v>
      </c>
      <c r="P249" s="2">
        <f t="shared" si="1"/>
        <v>0</v>
      </c>
      <c r="Q249" s="1" t="str">
        <f t="shared" si="2"/>
        <v>High Leisure Screen</v>
      </c>
      <c r="R249" s="2" t="str">
        <f t="shared" si="3"/>
        <v>High Total Screen</v>
      </c>
      <c r="S249" s="2" t="str">
        <f t="shared" si="4"/>
        <v>Higher Exercise</v>
      </c>
      <c r="T249" s="2" t="str">
        <f t="shared" si="5"/>
        <v>Higher Social</v>
      </c>
      <c r="AA249" s="1">
        <v>2.55</v>
      </c>
      <c r="AB249" s="2">
        <f t="shared" si="6"/>
        <v>1.266947603</v>
      </c>
    </row>
    <row r="250">
      <c r="A250" s="1" t="s">
        <v>317</v>
      </c>
      <c r="B250" s="1">
        <v>44.0</v>
      </c>
      <c r="C250" s="1" t="s">
        <v>30</v>
      </c>
      <c r="D250" s="1" t="s">
        <v>17</v>
      </c>
      <c r="E250" s="1" t="s">
        <v>18</v>
      </c>
      <c r="F250" s="1">
        <v>9.61</v>
      </c>
      <c r="G250" s="1">
        <v>5.75</v>
      </c>
      <c r="H250" s="1">
        <v>3.86</v>
      </c>
      <c r="I250" s="1">
        <v>6.39</v>
      </c>
      <c r="J250" s="1">
        <v>2.0</v>
      </c>
      <c r="K250" s="1">
        <v>10.0</v>
      </c>
      <c r="L250" s="1">
        <v>59.5</v>
      </c>
      <c r="M250" s="1">
        <v>155.0</v>
      </c>
      <c r="N250" s="1">
        <v>8.7</v>
      </c>
      <c r="O250" s="1">
        <v>21.8</v>
      </c>
      <c r="P250" s="2">
        <f t="shared" si="1"/>
        <v>0</v>
      </c>
      <c r="Q250" s="1" t="str">
        <f t="shared" si="2"/>
        <v>Low Leisure Screen</v>
      </c>
      <c r="R250" s="2" t="str">
        <f t="shared" si="3"/>
        <v>High Total Screen</v>
      </c>
      <c r="S250" s="2" t="str">
        <f t="shared" si="4"/>
        <v>Higher Exercise</v>
      </c>
      <c r="T250" s="2" t="str">
        <f t="shared" si="5"/>
        <v>Higher Social</v>
      </c>
      <c r="AA250" s="1">
        <v>5.75</v>
      </c>
      <c r="AB250" s="2">
        <f t="shared" si="6"/>
        <v>1.909542505</v>
      </c>
    </row>
    <row r="251">
      <c r="A251" s="1" t="s">
        <v>318</v>
      </c>
      <c r="B251" s="1">
        <v>33.0</v>
      </c>
      <c r="C251" s="1" t="s">
        <v>16</v>
      </c>
      <c r="D251" s="1" t="s">
        <v>17</v>
      </c>
      <c r="E251" s="1" t="s">
        <v>18</v>
      </c>
      <c r="F251" s="1">
        <v>12.69</v>
      </c>
      <c r="G251" s="1">
        <v>5.84</v>
      </c>
      <c r="H251" s="1">
        <v>6.85</v>
      </c>
      <c r="I251" s="1">
        <v>6.26</v>
      </c>
      <c r="J251" s="1">
        <v>1.0</v>
      </c>
      <c r="K251" s="1">
        <v>10.0</v>
      </c>
      <c r="L251" s="1">
        <v>51.4</v>
      </c>
      <c r="M251" s="1">
        <v>81.0</v>
      </c>
      <c r="N251" s="1">
        <v>11.1</v>
      </c>
      <c r="O251" s="1">
        <v>3.4</v>
      </c>
      <c r="P251" s="2">
        <f t="shared" si="1"/>
        <v>0</v>
      </c>
      <c r="Q251" s="1" t="str">
        <f t="shared" si="2"/>
        <v>High Leisure Screen</v>
      </c>
      <c r="R251" s="2" t="str">
        <f t="shared" si="3"/>
        <v>High Total Screen</v>
      </c>
      <c r="S251" s="2" t="str">
        <f t="shared" si="4"/>
        <v>Lower Exercise</v>
      </c>
      <c r="T251" s="2" t="str">
        <f t="shared" si="5"/>
        <v>Higher Social</v>
      </c>
      <c r="AA251" s="1">
        <v>5.84</v>
      </c>
      <c r="AB251" s="2">
        <f t="shared" si="6"/>
        <v>1.922787732</v>
      </c>
    </row>
    <row r="252">
      <c r="A252" s="1" t="s">
        <v>319</v>
      </c>
      <c r="B252" s="1">
        <v>19.0</v>
      </c>
      <c r="C252" s="1" t="s">
        <v>16</v>
      </c>
      <c r="D252" s="1" t="s">
        <v>17</v>
      </c>
      <c r="E252" s="1" t="s">
        <v>18</v>
      </c>
      <c r="F252" s="1">
        <v>11.19</v>
      </c>
      <c r="G252" s="1">
        <v>4.91</v>
      </c>
      <c r="H252" s="1">
        <v>6.28</v>
      </c>
      <c r="I252" s="1">
        <v>7.17</v>
      </c>
      <c r="J252" s="1">
        <v>1.0</v>
      </c>
      <c r="K252" s="1">
        <v>10.0</v>
      </c>
      <c r="L252" s="1">
        <v>41.0</v>
      </c>
      <c r="M252" s="1">
        <v>102.0</v>
      </c>
      <c r="N252" s="1">
        <v>6.0</v>
      </c>
      <c r="O252" s="1">
        <v>0.0</v>
      </c>
      <c r="P252" s="2">
        <f t="shared" si="1"/>
        <v>0</v>
      </c>
      <c r="Q252" s="1" t="str">
        <f t="shared" si="2"/>
        <v>Low Leisure Screen</v>
      </c>
      <c r="R252" s="2" t="str">
        <f t="shared" si="3"/>
        <v>High Total Screen</v>
      </c>
      <c r="S252" s="2" t="str">
        <f t="shared" si="4"/>
        <v>Lower Exercise</v>
      </c>
      <c r="T252" s="2" t="str">
        <f t="shared" si="5"/>
        <v>Lower Social</v>
      </c>
      <c r="AA252" s="1">
        <v>4.91</v>
      </c>
      <c r="AB252" s="2">
        <f t="shared" si="6"/>
        <v>1.776645831</v>
      </c>
    </row>
    <row r="253">
      <c r="A253" s="1" t="s">
        <v>320</v>
      </c>
      <c r="B253" s="1">
        <v>37.0</v>
      </c>
      <c r="C253" s="1" t="s">
        <v>30</v>
      </c>
      <c r="D253" s="1" t="s">
        <v>32</v>
      </c>
      <c r="E253" s="1" t="s">
        <v>27</v>
      </c>
      <c r="F253" s="1">
        <v>4.87</v>
      </c>
      <c r="G253" s="1">
        <v>0.41</v>
      </c>
      <c r="H253" s="1">
        <v>4.46</v>
      </c>
      <c r="I253" s="1">
        <v>9.74</v>
      </c>
      <c r="J253" s="1">
        <v>3.0</v>
      </c>
      <c r="K253" s="1">
        <v>2.7</v>
      </c>
      <c r="L253" s="1">
        <v>88.9</v>
      </c>
      <c r="M253" s="1">
        <v>214.0</v>
      </c>
      <c r="N253" s="1">
        <v>2.5</v>
      </c>
      <c r="O253" s="1">
        <v>83.8</v>
      </c>
      <c r="P253" s="2">
        <f t="shared" si="1"/>
        <v>0</v>
      </c>
      <c r="Q253" s="1" t="str">
        <f t="shared" si="2"/>
        <v>Low Leisure Screen</v>
      </c>
      <c r="R253" s="2" t="str">
        <f t="shared" si="3"/>
        <v>Low Total Screen</v>
      </c>
      <c r="S253" s="2" t="str">
        <f t="shared" si="4"/>
        <v/>
      </c>
      <c r="T253" s="2" t="str">
        <f t="shared" si="5"/>
        <v/>
      </c>
      <c r="AA253" s="1">
        <v>0.41</v>
      </c>
      <c r="AB253" s="2">
        <f t="shared" si="6"/>
        <v>0.3435897044</v>
      </c>
    </row>
    <row r="254">
      <c r="A254" s="1" t="s">
        <v>321</v>
      </c>
      <c r="B254" s="1">
        <v>46.0</v>
      </c>
      <c r="C254" s="1" t="s">
        <v>30</v>
      </c>
      <c r="D254" s="1" t="s">
        <v>17</v>
      </c>
      <c r="E254" s="1" t="s">
        <v>27</v>
      </c>
      <c r="F254" s="1">
        <v>13.66</v>
      </c>
      <c r="G254" s="1">
        <v>0.79</v>
      </c>
      <c r="H254" s="1">
        <v>12.87</v>
      </c>
      <c r="I254" s="1">
        <v>6.33</v>
      </c>
      <c r="J254" s="1">
        <v>1.0</v>
      </c>
      <c r="K254" s="1">
        <v>10.0</v>
      </c>
      <c r="L254" s="1">
        <v>36.5</v>
      </c>
      <c r="M254" s="1">
        <v>128.0</v>
      </c>
      <c r="N254" s="1">
        <v>7.2</v>
      </c>
      <c r="O254" s="1">
        <v>1.7</v>
      </c>
      <c r="P254" s="2">
        <f t="shared" si="1"/>
        <v>0</v>
      </c>
      <c r="Q254" s="1" t="str">
        <f t="shared" si="2"/>
        <v>High Leisure Screen</v>
      </c>
      <c r="R254" s="2" t="str">
        <f t="shared" si="3"/>
        <v>High Total Screen</v>
      </c>
      <c r="S254" s="2" t="str">
        <f t="shared" si="4"/>
        <v>Higher Exercise</v>
      </c>
      <c r="T254" s="2" t="str">
        <f t="shared" si="5"/>
        <v>Lower Social</v>
      </c>
      <c r="AA254" s="1">
        <v>0.79</v>
      </c>
      <c r="AB254" s="2">
        <f t="shared" si="6"/>
        <v>0.5822156199</v>
      </c>
    </row>
    <row r="255">
      <c r="A255" s="1" t="s">
        <v>322</v>
      </c>
      <c r="B255" s="1">
        <v>38.0</v>
      </c>
      <c r="C255" s="1" t="s">
        <v>30</v>
      </c>
      <c r="D255" s="1" t="s">
        <v>17</v>
      </c>
      <c r="E255" s="1" t="s">
        <v>27</v>
      </c>
      <c r="F255" s="1">
        <v>9.8</v>
      </c>
      <c r="G255" s="1">
        <v>0.65</v>
      </c>
      <c r="H255" s="1">
        <v>9.15</v>
      </c>
      <c r="I255" s="1">
        <v>5.88</v>
      </c>
      <c r="J255" s="1">
        <v>1.0</v>
      </c>
      <c r="K255" s="1">
        <v>8.6</v>
      </c>
      <c r="L255" s="1">
        <v>53.2</v>
      </c>
      <c r="M255" s="1">
        <v>91.0</v>
      </c>
      <c r="N255" s="1">
        <v>9.9</v>
      </c>
      <c r="O255" s="1">
        <v>11.0</v>
      </c>
      <c r="P255" s="2">
        <f t="shared" si="1"/>
        <v>0</v>
      </c>
      <c r="Q255" s="1" t="str">
        <f t="shared" si="2"/>
        <v>High Leisure Screen</v>
      </c>
      <c r="R255" s="2" t="str">
        <f t="shared" si="3"/>
        <v>High Total Screen</v>
      </c>
      <c r="S255" s="2" t="str">
        <f t="shared" si="4"/>
        <v>Lower Exercise</v>
      </c>
      <c r="T255" s="2" t="str">
        <f t="shared" si="5"/>
        <v>Higher Social</v>
      </c>
      <c r="AA255" s="1">
        <v>0.65</v>
      </c>
      <c r="AB255" s="2">
        <f t="shared" si="6"/>
        <v>0.5007752879</v>
      </c>
    </row>
    <row r="256">
      <c r="A256" s="1" t="s">
        <v>323</v>
      </c>
      <c r="B256" s="1">
        <v>17.0</v>
      </c>
      <c r="C256" s="1" t="s">
        <v>30</v>
      </c>
      <c r="D256" s="1" t="s">
        <v>43</v>
      </c>
      <c r="E256" s="1" t="s">
        <v>18</v>
      </c>
      <c r="F256" s="1">
        <v>6.42</v>
      </c>
      <c r="G256" s="1">
        <v>4.43</v>
      </c>
      <c r="H256" s="1">
        <v>1.99</v>
      </c>
      <c r="I256" s="1">
        <v>7.63</v>
      </c>
      <c r="J256" s="1">
        <v>1.0</v>
      </c>
      <c r="K256" s="1">
        <v>7.6</v>
      </c>
      <c r="L256" s="1">
        <v>65.6</v>
      </c>
      <c r="M256" s="1">
        <v>208.0</v>
      </c>
      <c r="N256" s="1">
        <v>8.4</v>
      </c>
      <c r="O256" s="1">
        <v>31.3</v>
      </c>
      <c r="P256" s="2">
        <f t="shared" si="1"/>
        <v>0</v>
      </c>
      <c r="Q256" s="1" t="str">
        <f t="shared" si="2"/>
        <v>Low Leisure Screen</v>
      </c>
      <c r="R256" s="2" t="str">
        <f t="shared" si="3"/>
        <v>Low Total Screen</v>
      </c>
      <c r="S256" s="2" t="str">
        <f t="shared" si="4"/>
        <v/>
      </c>
      <c r="T256" s="2" t="str">
        <f t="shared" si="5"/>
        <v/>
      </c>
      <c r="AA256" s="1">
        <v>4.43</v>
      </c>
      <c r="AB256" s="2">
        <f t="shared" si="6"/>
        <v>1.691939134</v>
      </c>
    </row>
    <row r="257">
      <c r="A257" s="1" t="s">
        <v>324</v>
      </c>
      <c r="B257" s="1">
        <v>26.0</v>
      </c>
      <c r="C257" s="1" t="s">
        <v>30</v>
      </c>
      <c r="D257" s="1" t="s">
        <v>17</v>
      </c>
      <c r="E257" s="1" t="s">
        <v>27</v>
      </c>
      <c r="F257" s="1">
        <v>9.26</v>
      </c>
      <c r="G257" s="1">
        <v>0.46</v>
      </c>
      <c r="H257" s="1">
        <v>8.8</v>
      </c>
      <c r="I257" s="1">
        <v>8.03</v>
      </c>
      <c r="J257" s="1">
        <v>2.0</v>
      </c>
      <c r="K257" s="1">
        <v>7.1</v>
      </c>
      <c r="L257" s="1">
        <v>65.1</v>
      </c>
      <c r="M257" s="1">
        <v>0.0</v>
      </c>
      <c r="N257" s="1">
        <v>0.0</v>
      </c>
      <c r="O257" s="1">
        <v>40.4</v>
      </c>
      <c r="P257" s="2">
        <f t="shared" si="1"/>
        <v>0</v>
      </c>
      <c r="Q257" s="1" t="str">
        <f t="shared" si="2"/>
        <v>High Leisure Screen</v>
      </c>
      <c r="R257" s="2" t="str">
        <f t="shared" si="3"/>
        <v>High Total Screen</v>
      </c>
      <c r="S257" s="2" t="str">
        <f t="shared" si="4"/>
        <v>Lower Exercise</v>
      </c>
      <c r="T257" s="2" t="str">
        <f t="shared" si="5"/>
        <v>Lower Social</v>
      </c>
      <c r="AA257" s="1">
        <v>0.46</v>
      </c>
      <c r="AB257" s="2">
        <f t="shared" si="6"/>
        <v>0.3784364357</v>
      </c>
    </row>
    <row r="258">
      <c r="A258" s="1" t="s">
        <v>325</v>
      </c>
      <c r="B258" s="1">
        <v>40.0</v>
      </c>
      <c r="C258" s="1" t="s">
        <v>16</v>
      </c>
      <c r="D258" s="1" t="s">
        <v>17</v>
      </c>
      <c r="E258" s="1" t="s">
        <v>27</v>
      </c>
      <c r="F258" s="1">
        <v>9.66</v>
      </c>
      <c r="G258" s="1">
        <v>1.16</v>
      </c>
      <c r="H258" s="1">
        <v>8.5</v>
      </c>
      <c r="I258" s="1">
        <v>7.14</v>
      </c>
      <c r="J258" s="1">
        <v>1.0</v>
      </c>
      <c r="K258" s="1">
        <v>8.4</v>
      </c>
      <c r="L258" s="1">
        <v>50.5</v>
      </c>
      <c r="M258" s="1">
        <v>249.0</v>
      </c>
      <c r="N258" s="1">
        <v>5.1</v>
      </c>
      <c r="O258" s="1">
        <v>0.4</v>
      </c>
      <c r="P258" s="2">
        <f t="shared" si="1"/>
        <v>0</v>
      </c>
      <c r="Q258" s="1" t="str">
        <f t="shared" si="2"/>
        <v>High Leisure Screen</v>
      </c>
      <c r="R258" s="2" t="str">
        <f t="shared" si="3"/>
        <v>High Total Screen</v>
      </c>
      <c r="S258" s="2" t="str">
        <f t="shared" si="4"/>
        <v>Higher Exercise</v>
      </c>
      <c r="T258" s="2" t="str">
        <f t="shared" si="5"/>
        <v>Lower Social</v>
      </c>
      <c r="AA258" s="1">
        <v>1.16</v>
      </c>
      <c r="AB258" s="2">
        <f t="shared" si="6"/>
        <v>0.7701082217</v>
      </c>
    </row>
    <row r="259">
      <c r="A259" s="1" t="s">
        <v>326</v>
      </c>
      <c r="B259" s="1">
        <v>24.0</v>
      </c>
      <c r="C259" s="1" t="s">
        <v>16</v>
      </c>
      <c r="D259" s="1" t="s">
        <v>43</v>
      </c>
      <c r="E259" s="1" t="s">
        <v>27</v>
      </c>
      <c r="F259" s="1">
        <v>2.44</v>
      </c>
      <c r="G259" s="1">
        <v>0.12</v>
      </c>
      <c r="H259" s="1">
        <v>2.32</v>
      </c>
      <c r="I259" s="1">
        <v>7.25</v>
      </c>
      <c r="J259" s="1">
        <v>3.0</v>
      </c>
      <c r="K259" s="1">
        <v>0.6</v>
      </c>
      <c r="L259" s="1">
        <v>100.0</v>
      </c>
      <c r="M259" s="1">
        <v>21.0</v>
      </c>
      <c r="N259" s="1">
        <v>6.4</v>
      </c>
      <c r="O259" s="1">
        <v>88.9</v>
      </c>
      <c r="P259" s="2">
        <f t="shared" si="1"/>
        <v>0</v>
      </c>
      <c r="Q259" s="1" t="str">
        <f t="shared" si="2"/>
        <v>Low Leisure Screen</v>
      </c>
      <c r="R259" s="2" t="str">
        <f t="shared" si="3"/>
        <v>Low Total Screen</v>
      </c>
      <c r="S259" s="2" t="str">
        <f t="shared" si="4"/>
        <v/>
      </c>
      <c r="T259" s="2" t="str">
        <f t="shared" si="5"/>
        <v/>
      </c>
      <c r="AA259" s="1">
        <v>0.12</v>
      </c>
      <c r="AB259" s="2">
        <f t="shared" si="6"/>
        <v>0.1133286853</v>
      </c>
    </row>
    <row r="260">
      <c r="A260" s="1" t="s">
        <v>327</v>
      </c>
      <c r="B260" s="1">
        <v>33.0</v>
      </c>
      <c r="C260" s="1" t="s">
        <v>16</v>
      </c>
      <c r="D260" s="1" t="s">
        <v>32</v>
      </c>
      <c r="E260" s="1" t="s">
        <v>23</v>
      </c>
      <c r="F260" s="1">
        <v>8.87</v>
      </c>
      <c r="G260" s="1">
        <v>1.0</v>
      </c>
      <c r="H260" s="1">
        <v>7.87</v>
      </c>
      <c r="I260" s="1">
        <v>7.87</v>
      </c>
      <c r="J260" s="1">
        <v>1.0</v>
      </c>
      <c r="K260" s="1">
        <v>8.5</v>
      </c>
      <c r="L260" s="1">
        <v>48.8</v>
      </c>
      <c r="M260" s="1">
        <v>62.0</v>
      </c>
      <c r="N260" s="1">
        <v>10.6</v>
      </c>
      <c r="O260" s="1">
        <v>2.8</v>
      </c>
      <c r="P260" s="2">
        <f t="shared" si="1"/>
        <v>0</v>
      </c>
      <c r="Q260" s="1" t="str">
        <f t="shared" si="2"/>
        <v>High Leisure Screen</v>
      </c>
      <c r="R260" s="2" t="str">
        <f t="shared" si="3"/>
        <v>Low Total Screen</v>
      </c>
      <c r="S260" s="2" t="str">
        <f t="shared" si="4"/>
        <v/>
      </c>
      <c r="T260" s="2" t="str">
        <f t="shared" si="5"/>
        <v/>
      </c>
      <c r="AA260" s="1">
        <v>1.0</v>
      </c>
      <c r="AB260" s="2">
        <f t="shared" si="6"/>
        <v>0.6931471806</v>
      </c>
    </row>
    <row r="261">
      <c r="A261" s="1" t="s">
        <v>328</v>
      </c>
      <c r="B261" s="1">
        <v>36.0</v>
      </c>
      <c r="C261" s="1" t="s">
        <v>30</v>
      </c>
      <c r="D261" s="1" t="s">
        <v>43</v>
      </c>
      <c r="E261" s="1" t="s">
        <v>18</v>
      </c>
      <c r="F261" s="1">
        <v>8.89</v>
      </c>
      <c r="G261" s="1">
        <v>2.93</v>
      </c>
      <c r="H261" s="1">
        <v>5.96</v>
      </c>
      <c r="I261" s="1">
        <v>7.66</v>
      </c>
      <c r="J261" s="1">
        <v>2.0</v>
      </c>
      <c r="K261" s="1">
        <v>7.8</v>
      </c>
      <c r="L261" s="1">
        <v>65.7</v>
      </c>
      <c r="M261" s="1">
        <v>105.0</v>
      </c>
      <c r="N261" s="1">
        <v>13.3</v>
      </c>
      <c r="O261" s="1">
        <v>33.6</v>
      </c>
      <c r="P261" s="2">
        <f t="shared" si="1"/>
        <v>0</v>
      </c>
      <c r="Q261" s="1" t="str">
        <f t="shared" si="2"/>
        <v>Low Leisure Screen</v>
      </c>
      <c r="R261" s="2" t="str">
        <f t="shared" si="3"/>
        <v>Low Total Screen</v>
      </c>
      <c r="S261" s="2" t="str">
        <f t="shared" si="4"/>
        <v/>
      </c>
      <c r="T261" s="2" t="str">
        <f t="shared" si="5"/>
        <v/>
      </c>
      <c r="AA261" s="1">
        <v>2.93</v>
      </c>
      <c r="AB261" s="2">
        <f t="shared" si="6"/>
        <v>1.368639426</v>
      </c>
    </row>
    <row r="262">
      <c r="A262" s="1" t="s">
        <v>329</v>
      </c>
      <c r="B262" s="1">
        <v>22.0</v>
      </c>
      <c r="C262" s="1" t="s">
        <v>30</v>
      </c>
      <c r="D262" s="1" t="s">
        <v>17</v>
      </c>
      <c r="E262" s="1" t="s">
        <v>27</v>
      </c>
      <c r="F262" s="1">
        <v>7.83</v>
      </c>
      <c r="G262" s="1">
        <v>1.79</v>
      </c>
      <c r="H262" s="1">
        <v>6.04</v>
      </c>
      <c r="I262" s="1">
        <v>6.32</v>
      </c>
      <c r="J262" s="1">
        <v>2.0</v>
      </c>
      <c r="K262" s="1">
        <v>7.4</v>
      </c>
      <c r="L262" s="1">
        <v>60.9</v>
      </c>
      <c r="M262" s="1">
        <v>97.0</v>
      </c>
      <c r="N262" s="1">
        <v>5.9</v>
      </c>
      <c r="O262" s="1">
        <v>31.3</v>
      </c>
      <c r="P262" s="2">
        <f t="shared" si="1"/>
        <v>0</v>
      </c>
      <c r="Q262" s="1" t="str">
        <f t="shared" si="2"/>
        <v>Low Leisure Screen</v>
      </c>
      <c r="R262" s="2" t="str">
        <f t="shared" si="3"/>
        <v>Low Total Screen</v>
      </c>
      <c r="S262" s="2" t="str">
        <f t="shared" si="4"/>
        <v/>
      </c>
      <c r="T262" s="2" t="str">
        <f t="shared" si="5"/>
        <v/>
      </c>
      <c r="AA262" s="1">
        <v>1.79</v>
      </c>
      <c r="AB262" s="2">
        <f t="shared" si="6"/>
        <v>1.026041596</v>
      </c>
    </row>
    <row r="263">
      <c r="A263" s="1" t="s">
        <v>330</v>
      </c>
      <c r="B263" s="1">
        <v>29.0</v>
      </c>
      <c r="C263" s="1" t="s">
        <v>16</v>
      </c>
      <c r="D263" s="1" t="s">
        <v>32</v>
      </c>
      <c r="E263" s="1" t="s">
        <v>18</v>
      </c>
      <c r="F263" s="1">
        <v>14.18</v>
      </c>
      <c r="G263" s="1">
        <v>2.4</v>
      </c>
      <c r="H263" s="1">
        <v>11.78</v>
      </c>
      <c r="I263" s="1">
        <v>6.57</v>
      </c>
      <c r="J263" s="1">
        <v>1.0</v>
      </c>
      <c r="K263" s="1">
        <v>7.8</v>
      </c>
      <c r="L263" s="1">
        <v>48.1</v>
      </c>
      <c r="M263" s="1">
        <v>143.0</v>
      </c>
      <c r="N263" s="1">
        <v>5.3</v>
      </c>
      <c r="O263" s="1">
        <v>20.4</v>
      </c>
      <c r="P263" s="2">
        <f t="shared" si="1"/>
        <v>0</v>
      </c>
      <c r="Q263" s="1" t="str">
        <f t="shared" si="2"/>
        <v>High Leisure Screen</v>
      </c>
      <c r="R263" s="2" t="str">
        <f t="shared" si="3"/>
        <v>High Total Screen</v>
      </c>
      <c r="S263" s="2" t="str">
        <f t="shared" si="4"/>
        <v>Higher Exercise</v>
      </c>
      <c r="T263" s="2" t="str">
        <f t="shared" si="5"/>
        <v>Lower Social</v>
      </c>
      <c r="AA263" s="1">
        <v>2.4</v>
      </c>
      <c r="AB263" s="2">
        <f t="shared" si="6"/>
        <v>1.223775432</v>
      </c>
    </row>
    <row r="264">
      <c r="A264" s="1" t="s">
        <v>331</v>
      </c>
      <c r="B264" s="1">
        <v>16.0</v>
      </c>
      <c r="C264" s="1" t="s">
        <v>16</v>
      </c>
      <c r="D264" s="1" t="s">
        <v>17</v>
      </c>
      <c r="E264" s="1" t="s">
        <v>27</v>
      </c>
      <c r="F264" s="1">
        <v>7.64</v>
      </c>
      <c r="G264" s="1">
        <v>0.55</v>
      </c>
      <c r="H264" s="1">
        <v>7.09</v>
      </c>
      <c r="I264" s="1">
        <v>7.91</v>
      </c>
      <c r="J264" s="1">
        <v>1.0</v>
      </c>
      <c r="K264" s="1">
        <v>6.9</v>
      </c>
      <c r="L264" s="1">
        <v>58.3</v>
      </c>
      <c r="M264" s="1">
        <v>31.0</v>
      </c>
      <c r="N264" s="1">
        <v>11.0</v>
      </c>
      <c r="O264" s="1">
        <v>19.3</v>
      </c>
      <c r="P264" s="2">
        <f t="shared" si="1"/>
        <v>0</v>
      </c>
      <c r="Q264" s="1" t="str">
        <f t="shared" si="2"/>
        <v>High Leisure Screen</v>
      </c>
      <c r="R264" s="2" t="str">
        <f t="shared" si="3"/>
        <v>Low Total Screen</v>
      </c>
      <c r="S264" s="2" t="str">
        <f t="shared" si="4"/>
        <v/>
      </c>
      <c r="T264" s="2" t="str">
        <f t="shared" si="5"/>
        <v/>
      </c>
      <c r="AA264" s="1">
        <v>0.55</v>
      </c>
      <c r="AB264" s="2">
        <f t="shared" si="6"/>
        <v>0.4382549309</v>
      </c>
    </row>
    <row r="265">
      <c r="A265" s="1" t="s">
        <v>332</v>
      </c>
      <c r="B265" s="1">
        <v>21.0</v>
      </c>
      <c r="C265" s="1" t="s">
        <v>30</v>
      </c>
      <c r="D265" s="1" t="s">
        <v>17</v>
      </c>
      <c r="E265" s="1" t="s">
        <v>23</v>
      </c>
      <c r="F265" s="1">
        <v>8.86</v>
      </c>
      <c r="G265" s="1">
        <v>0.68</v>
      </c>
      <c r="H265" s="1">
        <v>8.18</v>
      </c>
      <c r="I265" s="1">
        <v>7.93</v>
      </c>
      <c r="J265" s="1">
        <v>1.0</v>
      </c>
      <c r="K265" s="1">
        <v>8.5</v>
      </c>
      <c r="L265" s="1">
        <v>50.4</v>
      </c>
      <c r="M265" s="1">
        <v>119.0</v>
      </c>
      <c r="N265" s="1">
        <v>12.1</v>
      </c>
      <c r="O265" s="1">
        <v>2.1</v>
      </c>
      <c r="P265" s="2">
        <f t="shared" si="1"/>
        <v>0</v>
      </c>
      <c r="Q265" s="1" t="str">
        <f t="shared" si="2"/>
        <v>High Leisure Screen</v>
      </c>
      <c r="R265" s="2" t="str">
        <f t="shared" si="3"/>
        <v>Low Total Screen</v>
      </c>
      <c r="S265" s="2" t="str">
        <f t="shared" si="4"/>
        <v/>
      </c>
      <c r="T265" s="2" t="str">
        <f t="shared" si="5"/>
        <v/>
      </c>
      <c r="AA265" s="1">
        <v>0.68</v>
      </c>
      <c r="AB265" s="2">
        <f t="shared" si="6"/>
        <v>0.5187937934</v>
      </c>
    </row>
    <row r="266">
      <c r="A266" s="1" t="s">
        <v>333</v>
      </c>
      <c r="B266" s="1">
        <v>27.0</v>
      </c>
      <c r="C266" s="1" t="s">
        <v>16</v>
      </c>
      <c r="D266" s="1" t="s">
        <v>32</v>
      </c>
      <c r="E266" s="1" t="s">
        <v>27</v>
      </c>
      <c r="F266" s="1">
        <v>8.08</v>
      </c>
      <c r="G266" s="1">
        <v>1.42</v>
      </c>
      <c r="H266" s="1">
        <v>6.66</v>
      </c>
      <c r="I266" s="1">
        <v>7.1</v>
      </c>
      <c r="J266" s="1">
        <v>1.0</v>
      </c>
      <c r="K266" s="1">
        <v>10.0</v>
      </c>
      <c r="L266" s="1">
        <v>43.6</v>
      </c>
      <c r="M266" s="1">
        <v>68.0</v>
      </c>
      <c r="N266" s="1">
        <v>8.3</v>
      </c>
      <c r="O266" s="1">
        <v>0.0</v>
      </c>
      <c r="P266" s="2">
        <f t="shared" si="1"/>
        <v>0</v>
      </c>
      <c r="Q266" s="1" t="str">
        <f t="shared" si="2"/>
        <v>Low Leisure Screen</v>
      </c>
      <c r="R266" s="2" t="str">
        <f t="shared" si="3"/>
        <v>Low Total Screen</v>
      </c>
      <c r="S266" s="2" t="str">
        <f t="shared" si="4"/>
        <v/>
      </c>
      <c r="T266" s="2" t="str">
        <f t="shared" si="5"/>
        <v/>
      </c>
      <c r="AA266" s="1">
        <v>1.42</v>
      </c>
      <c r="AB266" s="2">
        <f t="shared" si="6"/>
        <v>0.8837675402</v>
      </c>
    </row>
    <row r="267">
      <c r="A267" s="1" t="s">
        <v>334</v>
      </c>
      <c r="B267" s="1">
        <v>20.0</v>
      </c>
      <c r="C267" s="1" t="s">
        <v>30</v>
      </c>
      <c r="D267" s="1" t="s">
        <v>17</v>
      </c>
      <c r="E267" s="1" t="s">
        <v>23</v>
      </c>
      <c r="F267" s="1">
        <v>7.95</v>
      </c>
      <c r="G267" s="1">
        <v>0.88</v>
      </c>
      <c r="H267" s="1">
        <v>7.07</v>
      </c>
      <c r="I267" s="1">
        <v>6.82</v>
      </c>
      <c r="J267" s="1">
        <v>1.0</v>
      </c>
      <c r="K267" s="1">
        <v>6.7</v>
      </c>
      <c r="L267" s="1">
        <v>67.3</v>
      </c>
      <c r="M267" s="1">
        <v>126.0</v>
      </c>
      <c r="N267" s="1">
        <v>10.8</v>
      </c>
      <c r="O267" s="1">
        <v>31.8</v>
      </c>
      <c r="P267" s="2">
        <f t="shared" si="1"/>
        <v>0</v>
      </c>
      <c r="Q267" s="1" t="str">
        <f t="shared" si="2"/>
        <v>High Leisure Screen</v>
      </c>
      <c r="R267" s="2" t="str">
        <f t="shared" si="3"/>
        <v>Low Total Screen</v>
      </c>
      <c r="S267" s="2" t="str">
        <f t="shared" si="4"/>
        <v/>
      </c>
      <c r="T267" s="2" t="str">
        <f t="shared" si="5"/>
        <v/>
      </c>
      <c r="AA267" s="1">
        <v>0.88</v>
      </c>
      <c r="AB267" s="2">
        <f t="shared" si="6"/>
        <v>0.6312717768</v>
      </c>
    </row>
    <row r="268">
      <c r="A268" s="1" t="s">
        <v>335</v>
      </c>
      <c r="B268" s="1">
        <v>43.0</v>
      </c>
      <c r="C268" s="1" t="s">
        <v>16</v>
      </c>
      <c r="D268" s="1" t="s">
        <v>17</v>
      </c>
      <c r="E268" s="1" t="s">
        <v>18</v>
      </c>
      <c r="F268" s="1">
        <v>9.23</v>
      </c>
      <c r="G268" s="1">
        <v>6.1</v>
      </c>
      <c r="H268" s="1">
        <v>3.13</v>
      </c>
      <c r="I268" s="1">
        <v>8.13</v>
      </c>
      <c r="J268" s="1">
        <v>2.0</v>
      </c>
      <c r="K268" s="1">
        <v>8.4</v>
      </c>
      <c r="L268" s="1">
        <v>52.2</v>
      </c>
      <c r="M268" s="1">
        <v>105.0</v>
      </c>
      <c r="N268" s="1">
        <v>8.6</v>
      </c>
      <c r="O268" s="1">
        <v>28.3</v>
      </c>
      <c r="P268" s="2">
        <f t="shared" si="1"/>
        <v>0</v>
      </c>
      <c r="Q268" s="1" t="str">
        <f t="shared" si="2"/>
        <v>Low Leisure Screen</v>
      </c>
      <c r="R268" s="2" t="str">
        <f t="shared" si="3"/>
        <v>High Total Screen</v>
      </c>
      <c r="S268" s="2" t="str">
        <f t="shared" si="4"/>
        <v>Higher Exercise</v>
      </c>
      <c r="T268" s="2" t="str">
        <f t="shared" si="5"/>
        <v>Higher Social</v>
      </c>
      <c r="AA268" s="1">
        <v>6.1</v>
      </c>
      <c r="AB268" s="2">
        <f t="shared" si="6"/>
        <v>1.960094784</v>
      </c>
    </row>
    <row r="269">
      <c r="A269" s="1" t="s">
        <v>336</v>
      </c>
      <c r="B269" s="1">
        <v>18.0</v>
      </c>
      <c r="C269" s="1" t="s">
        <v>30</v>
      </c>
      <c r="D269" s="1" t="s">
        <v>17</v>
      </c>
      <c r="E269" s="1" t="s">
        <v>18</v>
      </c>
      <c r="F269" s="1">
        <v>9.2</v>
      </c>
      <c r="G269" s="1">
        <v>2.55</v>
      </c>
      <c r="H269" s="1">
        <v>6.65</v>
      </c>
      <c r="I269" s="1">
        <v>5.93</v>
      </c>
      <c r="J269" s="1">
        <v>1.0</v>
      </c>
      <c r="K269" s="1">
        <v>10.0</v>
      </c>
      <c r="L269" s="1">
        <v>39.8</v>
      </c>
      <c r="M269" s="1">
        <v>103.0</v>
      </c>
      <c r="N269" s="1">
        <v>8.5</v>
      </c>
      <c r="O269" s="1">
        <v>0.0</v>
      </c>
      <c r="P269" s="2">
        <f t="shared" si="1"/>
        <v>0</v>
      </c>
      <c r="Q269" s="1" t="str">
        <f t="shared" si="2"/>
        <v>Low Leisure Screen</v>
      </c>
      <c r="R269" s="2" t="str">
        <f t="shared" si="3"/>
        <v>High Total Screen</v>
      </c>
      <c r="S269" s="2" t="str">
        <f t="shared" si="4"/>
        <v>Lower Exercise</v>
      </c>
      <c r="T269" s="2" t="str">
        <f t="shared" si="5"/>
        <v>Higher Social</v>
      </c>
      <c r="AA269" s="1">
        <v>2.55</v>
      </c>
      <c r="AB269" s="2">
        <f t="shared" si="6"/>
        <v>1.266947603</v>
      </c>
    </row>
    <row r="270">
      <c r="A270" s="1" t="s">
        <v>337</v>
      </c>
      <c r="B270" s="1">
        <v>26.0</v>
      </c>
      <c r="C270" s="1" t="s">
        <v>16</v>
      </c>
      <c r="D270" s="1" t="s">
        <v>32</v>
      </c>
      <c r="E270" s="1" t="s">
        <v>27</v>
      </c>
      <c r="F270" s="1">
        <v>11.55</v>
      </c>
      <c r="G270" s="1">
        <v>0.58</v>
      </c>
      <c r="H270" s="1">
        <v>10.97</v>
      </c>
      <c r="I270" s="1">
        <v>6.98</v>
      </c>
      <c r="J270" s="1">
        <v>1.0</v>
      </c>
      <c r="K270" s="1">
        <v>9.3</v>
      </c>
      <c r="L270" s="1">
        <v>56.2</v>
      </c>
      <c r="M270" s="1">
        <v>48.0</v>
      </c>
      <c r="N270" s="1">
        <v>7.2</v>
      </c>
      <c r="O270" s="1">
        <v>16.1</v>
      </c>
      <c r="P270" s="2">
        <f t="shared" si="1"/>
        <v>0</v>
      </c>
      <c r="Q270" s="1" t="str">
        <f t="shared" si="2"/>
        <v>High Leisure Screen</v>
      </c>
      <c r="R270" s="2" t="str">
        <f t="shared" si="3"/>
        <v>High Total Screen</v>
      </c>
      <c r="S270" s="2" t="str">
        <f t="shared" si="4"/>
        <v>Lower Exercise</v>
      </c>
      <c r="T270" s="2" t="str">
        <f t="shared" si="5"/>
        <v>Lower Social</v>
      </c>
      <c r="AA270" s="1">
        <v>0.58</v>
      </c>
      <c r="AB270" s="2">
        <f t="shared" si="6"/>
        <v>0.457424847</v>
      </c>
    </row>
    <row r="271">
      <c r="A271" s="1" t="s">
        <v>338</v>
      </c>
      <c r="B271" s="1">
        <v>31.0</v>
      </c>
      <c r="C271" s="1" t="s">
        <v>30</v>
      </c>
      <c r="D271" s="1" t="s">
        <v>35</v>
      </c>
      <c r="E271" s="1" t="s">
        <v>27</v>
      </c>
      <c r="F271" s="1">
        <v>6.15</v>
      </c>
      <c r="G271" s="1">
        <v>0.37</v>
      </c>
      <c r="H271" s="1">
        <v>5.78</v>
      </c>
      <c r="I271" s="1">
        <v>6.39</v>
      </c>
      <c r="J271" s="1">
        <v>1.0</v>
      </c>
      <c r="K271" s="1">
        <v>7.5</v>
      </c>
      <c r="L271" s="1">
        <v>64.6</v>
      </c>
      <c r="M271" s="1">
        <v>86.0</v>
      </c>
      <c r="N271" s="1">
        <v>9.3</v>
      </c>
      <c r="O271" s="1">
        <v>19.4</v>
      </c>
      <c r="P271" s="2">
        <f t="shared" si="1"/>
        <v>0</v>
      </c>
      <c r="Q271" s="1" t="str">
        <f t="shared" si="2"/>
        <v>Low Leisure Screen</v>
      </c>
      <c r="R271" s="2" t="str">
        <f t="shared" si="3"/>
        <v>Low Total Screen</v>
      </c>
      <c r="S271" s="2" t="str">
        <f t="shared" si="4"/>
        <v/>
      </c>
      <c r="T271" s="2" t="str">
        <f t="shared" si="5"/>
        <v/>
      </c>
      <c r="AA271" s="1">
        <v>0.37</v>
      </c>
      <c r="AB271" s="2">
        <f t="shared" si="6"/>
        <v>0.3148107398</v>
      </c>
    </row>
    <row r="272">
      <c r="A272" s="1" t="s">
        <v>339</v>
      </c>
      <c r="B272" s="1">
        <v>41.0</v>
      </c>
      <c r="C272" s="1" t="s">
        <v>30</v>
      </c>
      <c r="D272" s="1" t="s">
        <v>37</v>
      </c>
      <c r="E272" s="1" t="s">
        <v>18</v>
      </c>
      <c r="F272" s="1">
        <v>9.01</v>
      </c>
      <c r="G272" s="1">
        <v>2.73</v>
      </c>
      <c r="H272" s="1">
        <v>6.28</v>
      </c>
      <c r="I272" s="1">
        <v>8.01</v>
      </c>
      <c r="J272" s="1">
        <v>2.0</v>
      </c>
      <c r="K272" s="1">
        <v>6.8</v>
      </c>
      <c r="L272" s="1">
        <v>49.0</v>
      </c>
      <c r="M272" s="1">
        <v>130.0</v>
      </c>
      <c r="N272" s="1">
        <v>10.1</v>
      </c>
      <c r="O272" s="1">
        <v>31.8</v>
      </c>
      <c r="P272" s="2">
        <f t="shared" si="1"/>
        <v>0</v>
      </c>
      <c r="Q272" s="1" t="str">
        <f t="shared" si="2"/>
        <v>Low Leisure Screen</v>
      </c>
      <c r="R272" s="2" t="str">
        <f t="shared" si="3"/>
        <v>Low Total Screen</v>
      </c>
      <c r="S272" s="2" t="str">
        <f t="shared" si="4"/>
        <v/>
      </c>
      <c r="T272" s="2" t="str">
        <f t="shared" si="5"/>
        <v/>
      </c>
      <c r="AA272" s="1">
        <v>2.73</v>
      </c>
      <c r="AB272" s="2">
        <f t="shared" si="6"/>
        <v>1.316408234</v>
      </c>
    </row>
    <row r="273">
      <c r="A273" s="1" t="s">
        <v>340</v>
      </c>
      <c r="B273" s="1">
        <v>18.0</v>
      </c>
      <c r="C273" s="1" t="s">
        <v>30</v>
      </c>
      <c r="D273" s="1" t="s">
        <v>43</v>
      </c>
      <c r="E273" s="1" t="s">
        <v>18</v>
      </c>
      <c r="F273" s="1">
        <v>5.87</v>
      </c>
      <c r="G273" s="1">
        <v>3.68</v>
      </c>
      <c r="H273" s="1">
        <v>2.19</v>
      </c>
      <c r="I273" s="1">
        <v>7.19</v>
      </c>
      <c r="J273" s="1">
        <v>1.0</v>
      </c>
      <c r="K273" s="1">
        <v>5.9</v>
      </c>
      <c r="L273" s="1">
        <v>62.2</v>
      </c>
      <c r="M273" s="1">
        <v>183.0</v>
      </c>
      <c r="N273" s="1">
        <v>15.2</v>
      </c>
      <c r="O273" s="1">
        <v>29.6</v>
      </c>
      <c r="P273" s="2">
        <f t="shared" si="1"/>
        <v>0</v>
      </c>
      <c r="Q273" s="1" t="str">
        <f t="shared" si="2"/>
        <v>Low Leisure Screen</v>
      </c>
      <c r="R273" s="2" t="str">
        <f t="shared" si="3"/>
        <v>Low Total Screen</v>
      </c>
      <c r="S273" s="2" t="str">
        <f t="shared" si="4"/>
        <v/>
      </c>
      <c r="T273" s="2" t="str">
        <f t="shared" si="5"/>
        <v/>
      </c>
      <c r="AA273" s="1">
        <v>3.68</v>
      </c>
      <c r="AB273" s="2">
        <f t="shared" si="6"/>
        <v>1.54329811</v>
      </c>
    </row>
    <row r="274">
      <c r="A274" s="1" t="s">
        <v>341</v>
      </c>
      <c r="B274" s="1">
        <v>39.0</v>
      </c>
      <c r="C274" s="1" t="s">
        <v>30</v>
      </c>
      <c r="D274" s="1" t="s">
        <v>17</v>
      </c>
      <c r="E274" s="1" t="s">
        <v>18</v>
      </c>
      <c r="F274" s="1">
        <v>10.13</v>
      </c>
      <c r="G274" s="1">
        <v>5.13</v>
      </c>
      <c r="H274" s="1">
        <v>5.0</v>
      </c>
      <c r="I274" s="1">
        <v>7.99</v>
      </c>
      <c r="J274" s="1">
        <v>2.0</v>
      </c>
      <c r="K274" s="1">
        <v>7.7</v>
      </c>
      <c r="L274" s="1">
        <v>47.1</v>
      </c>
      <c r="M274" s="1">
        <v>60.0</v>
      </c>
      <c r="N274" s="1">
        <v>10.4</v>
      </c>
      <c r="O274" s="1">
        <v>23.7</v>
      </c>
      <c r="P274" s="2">
        <f t="shared" si="1"/>
        <v>0</v>
      </c>
      <c r="Q274" s="1" t="str">
        <f t="shared" si="2"/>
        <v>Low Leisure Screen</v>
      </c>
      <c r="R274" s="2" t="str">
        <f t="shared" si="3"/>
        <v>High Total Screen</v>
      </c>
      <c r="S274" s="2" t="str">
        <f t="shared" si="4"/>
        <v>Lower Exercise</v>
      </c>
      <c r="T274" s="2" t="str">
        <f t="shared" si="5"/>
        <v>Higher Social</v>
      </c>
      <c r="AA274" s="1">
        <v>5.13</v>
      </c>
      <c r="AB274" s="2">
        <f t="shared" si="6"/>
        <v>1.81319475</v>
      </c>
    </row>
    <row r="275">
      <c r="A275" s="1" t="s">
        <v>342</v>
      </c>
      <c r="B275" s="1">
        <v>30.0</v>
      </c>
      <c r="C275" s="1" t="s">
        <v>30</v>
      </c>
      <c r="D275" s="1" t="s">
        <v>32</v>
      </c>
      <c r="E275" s="1" t="s">
        <v>23</v>
      </c>
      <c r="F275" s="1">
        <v>10.57</v>
      </c>
      <c r="G275" s="1">
        <v>0.53</v>
      </c>
      <c r="H275" s="1">
        <v>10.04</v>
      </c>
      <c r="I275" s="1">
        <v>7.21</v>
      </c>
      <c r="J275" s="1">
        <v>3.0</v>
      </c>
      <c r="K275" s="1">
        <v>7.0</v>
      </c>
      <c r="L275" s="1">
        <v>60.4</v>
      </c>
      <c r="M275" s="1">
        <v>34.0</v>
      </c>
      <c r="N275" s="1">
        <v>0.7</v>
      </c>
      <c r="O275" s="1">
        <v>44.1</v>
      </c>
      <c r="P275" s="2">
        <f t="shared" si="1"/>
        <v>0</v>
      </c>
      <c r="Q275" s="1" t="str">
        <f t="shared" si="2"/>
        <v>High Leisure Screen</v>
      </c>
      <c r="R275" s="2" t="str">
        <f t="shared" si="3"/>
        <v>High Total Screen</v>
      </c>
      <c r="S275" s="2" t="str">
        <f t="shared" si="4"/>
        <v>Lower Exercise</v>
      </c>
      <c r="T275" s="2" t="str">
        <f t="shared" si="5"/>
        <v>Lower Social</v>
      </c>
      <c r="AA275" s="1">
        <v>0.53</v>
      </c>
      <c r="AB275" s="2">
        <f t="shared" si="6"/>
        <v>0.4252677354</v>
      </c>
    </row>
    <row r="276">
      <c r="A276" s="1" t="s">
        <v>343</v>
      </c>
      <c r="B276" s="1">
        <v>22.0</v>
      </c>
      <c r="C276" s="1" t="s">
        <v>30</v>
      </c>
      <c r="D276" s="1" t="s">
        <v>17</v>
      </c>
      <c r="E276" s="1" t="s">
        <v>18</v>
      </c>
      <c r="F276" s="1">
        <v>12.39</v>
      </c>
      <c r="G276" s="1">
        <v>5.27</v>
      </c>
      <c r="H276" s="1">
        <v>7.12</v>
      </c>
      <c r="I276" s="1">
        <v>5.48</v>
      </c>
      <c r="J276" s="1">
        <v>1.0</v>
      </c>
      <c r="K276" s="1">
        <v>10.0</v>
      </c>
      <c r="L276" s="1">
        <v>20.6</v>
      </c>
      <c r="M276" s="1">
        <v>123.0</v>
      </c>
      <c r="N276" s="1">
        <v>7.7</v>
      </c>
      <c r="O276" s="1">
        <v>0.0</v>
      </c>
      <c r="P276" s="2">
        <f t="shared" si="1"/>
        <v>0</v>
      </c>
      <c r="Q276" s="1" t="str">
        <f t="shared" si="2"/>
        <v>High Leisure Screen</v>
      </c>
      <c r="R276" s="2" t="str">
        <f t="shared" si="3"/>
        <v>High Total Screen</v>
      </c>
      <c r="S276" s="2" t="str">
        <f t="shared" si="4"/>
        <v>Higher Exercise</v>
      </c>
      <c r="T276" s="2" t="str">
        <f t="shared" si="5"/>
        <v>Lower Social</v>
      </c>
      <c r="AA276" s="1">
        <v>5.27</v>
      </c>
      <c r="AB276" s="2">
        <f t="shared" si="6"/>
        <v>1.835776355</v>
      </c>
    </row>
    <row r="277">
      <c r="A277" s="1" t="s">
        <v>344</v>
      </c>
      <c r="B277" s="1">
        <v>33.0</v>
      </c>
      <c r="C277" s="1" t="s">
        <v>16</v>
      </c>
      <c r="D277" s="1" t="s">
        <v>32</v>
      </c>
      <c r="E277" s="1" t="s">
        <v>18</v>
      </c>
      <c r="F277" s="1">
        <v>19.17</v>
      </c>
      <c r="G277" s="1">
        <v>12.04</v>
      </c>
      <c r="H277" s="1">
        <v>7.13</v>
      </c>
      <c r="I277" s="1">
        <v>6.69</v>
      </c>
      <c r="J277" s="1">
        <v>1.0</v>
      </c>
      <c r="K277" s="1">
        <v>10.0</v>
      </c>
      <c r="L277" s="1">
        <v>28.4</v>
      </c>
      <c r="M277" s="1">
        <v>42.0</v>
      </c>
      <c r="N277" s="1">
        <v>0.0</v>
      </c>
      <c r="O277" s="1">
        <v>0.0</v>
      </c>
      <c r="P277" s="2">
        <f t="shared" si="1"/>
        <v>0</v>
      </c>
      <c r="Q277" s="1" t="str">
        <f t="shared" si="2"/>
        <v>High Leisure Screen</v>
      </c>
      <c r="R277" s="2" t="str">
        <f t="shared" si="3"/>
        <v>High Total Screen</v>
      </c>
      <c r="S277" s="2" t="str">
        <f t="shared" si="4"/>
        <v>Lower Exercise</v>
      </c>
      <c r="T277" s="2" t="str">
        <f t="shared" si="5"/>
        <v>Lower Social</v>
      </c>
      <c r="AA277" s="1">
        <v>12.04</v>
      </c>
      <c r="AB277" s="2">
        <f t="shared" si="6"/>
        <v>2.568021556</v>
      </c>
    </row>
    <row r="278">
      <c r="A278" s="1" t="s">
        <v>345</v>
      </c>
      <c r="B278" s="1">
        <v>31.0</v>
      </c>
      <c r="C278" s="1" t="s">
        <v>30</v>
      </c>
      <c r="D278" s="1" t="s">
        <v>32</v>
      </c>
      <c r="E278" s="1" t="s">
        <v>18</v>
      </c>
      <c r="F278" s="1">
        <v>9.94</v>
      </c>
      <c r="G278" s="1">
        <v>1.11</v>
      </c>
      <c r="H278" s="1">
        <v>8.83</v>
      </c>
      <c r="I278" s="1">
        <v>8.16</v>
      </c>
      <c r="J278" s="1">
        <v>2.0</v>
      </c>
      <c r="K278" s="1">
        <v>10.0</v>
      </c>
      <c r="L278" s="1">
        <v>42.2</v>
      </c>
      <c r="M278" s="1">
        <v>157.0</v>
      </c>
      <c r="N278" s="1">
        <v>0.8</v>
      </c>
      <c r="O278" s="1">
        <v>12.7</v>
      </c>
      <c r="P278" s="2">
        <f t="shared" si="1"/>
        <v>0</v>
      </c>
      <c r="Q278" s="1" t="str">
        <f t="shared" si="2"/>
        <v>High Leisure Screen</v>
      </c>
      <c r="R278" s="2" t="str">
        <f t="shared" si="3"/>
        <v>High Total Screen</v>
      </c>
      <c r="S278" s="2" t="str">
        <f t="shared" si="4"/>
        <v>Higher Exercise</v>
      </c>
      <c r="T278" s="2" t="str">
        <f t="shared" si="5"/>
        <v>Lower Social</v>
      </c>
      <c r="AA278" s="1">
        <v>1.11</v>
      </c>
      <c r="AB278" s="2">
        <f t="shared" si="6"/>
        <v>0.7466879475</v>
      </c>
    </row>
    <row r="279">
      <c r="A279" s="1" t="s">
        <v>346</v>
      </c>
      <c r="B279" s="1">
        <v>25.0</v>
      </c>
      <c r="C279" s="1" t="s">
        <v>30</v>
      </c>
      <c r="D279" s="1" t="s">
        <v>17</v>
      </c>
      <c r="E279" s="1" t="s">
        <v>27</v>
      </c>
      <c r="F279" s="1">
        <v>4.47</v>
      </c>
      <c r="G279" s="1">
        <v>1.04</v>
      </c>
      <c r="H279" s="1">
        <v>3.43</v>
      </c>
      <c r="I279" s="1">
        <v>8.39</v>
      </c>
      <c r="J279" s="1">
        <v>3.0</v>
      </c>
      <c r="K279" s="1">
        <v>3.9</v>
      </c>
      <c r="L279" s="1">
        <v>88.1</v>
      </c>
      <c r="M279" s="1">
        <v>65.0</v>
      </c>
      <c r="N279" s="1">
        <v>9.8</v>
      </c>
      <c r="O279" s="1">
        <v>80.5</v>
      </c>
      <c r="P279" s="2">
        <f t="shared" si="1"/>
        <v>0</v>
      </c>
      <c r="Q279" s="1" t="str">
        <f t="shared" si="2"/>
        <v>Low Leisure Screen</v>
      </c>
      <c r="R279" s="2" t="str">
        <f t="shared" si="3"/>
        <v>Low Total Screen</v>
      </c>
      <c r="S279" s="2" t="str">
        <f t="shared" si="4"/>
        <v/>
      </c>
      <c r="T279" s="2" t="str">
        <f t="shared" si="5"/>
        <v/>
      </c>
      <c r="AA279" s="1">
        <v>1.04</v>
      </c>
      <c r="AB279" s="2">
        <f t="shared" si="6"/>
        <v>0.7129498079</v>
      </c>
    </row>
    <row r="280">
      <c r="A280" s="1" t="s">
        <v>347</v>
      </c>
      <c r="B280" s="1">
        <v>30.0</v>
      </c>
      <c r="C280" s="1" t="s">
        <v>16</v>
      </c>
      <c r="D280" s="1" t="s">
        <v>17</v>
      </c>
      <c r="E280" s="1" t="s">
        <v>18</v>
      </c>
      <c r="F280" s="1">
        <v>10.54</v>
      </c>
      <c r="G280" s="1">
        <v>6.2</v>
      </c>
      <c r="H280" s="1">
        <v>4.34</v>
      </c>
      <c r="I280" s="1">
        <v>6.21</v>
      </c>
      <c r="J280" s="1">
        <v>1.0</v>
      </c>
      <c r="K280" s="1">
        <v>8.0</v>
      </c>
      <c r="L280" s="1">
        <v>40.4</v>
      </c>
      <c r="M280" s="1">
        <v>0.0</v>
      </c>
      <c r="N280" s="1">
        <v>6.0</v>
      </c>
      <c r="O280" s="1">
        <v>3.7</v>
      </c>
      <c r="P280" s="2">
        <f t="shared" si="1"/>
        <v>0</v>
      </c>
      <c r="Q280" s="1" t="str">
        <f t="shared" si="2"/>
        <v>Low Leisure Screen</v>
      </c>
      <c r="R280" s="2" t="str">
        <f t="shared" si="3"/>
        <v>High Total Screen</v>
      </c>
      <c r="S280" s="2" t="str">
        <f t="shared" si="4"/>
        <v>Lower Exercise</v>
      </c>
      <c r="T280" s="2" t="str">
        <f t="shared" si="5"/>
        <v>Lower Social</v>
      </c>
      <c r="AA280" s="1">
        <v>6.2</v>
      </c>
      <c r="AB280" s="2">
        <f t="shared" si="6"/>
        <v>1.974081026</v>
      </c>
    </row>
    <row r="281">
      <c r="A281" s="1" t="s">
        <v>348</v>
      </c>
      <c r="B281" s="1">
        <v>26.0</v>
      </c>
      <c r="C281" s="1" t="s">
        <v>30</v>
      </c>
      <c r="D281" s="1" t="s">
        <v>17</v>
      </c>
      <c r="E281" s="1" t="s">
        <v>27</v>
      </c>
      <c r="F281" s="1">
        <v>7.24</v>
      </c>
      <c r="G281" s="1">
        <v>0.67</v>
      </c>
      <c r="H281" s="1">
        <v>6.57</v>
      </c>
      <c r="I281" s="1">
        <v>7.03</v>
      </c>
      <c r="J281" s="1">
        <v>1.0</v>
      </c>
      <c r="K281" s="1">
        <v>8.4</v>
      </c>
      <c r="L281" s="1">
        <v>54.0</v>
      </c>
      <c r="M281" s="1">
        <v>75.0</v>
      </c>
      <c r="N281" s="1">
        <v>2.1</v>
      </c>
      <c r="O281" s="1">
        <v>26.5</v>
      </c>
      <c r="P281" s="2">
        <f t="shared" si="1"/>
        <v>0</v>
      </c>
      <c r="Q281" s="1" t="str">
        <f t="shared" si="2"/>
        <v>Low Leisure Screen</v>
      </c>
      <c r="R281" s="2" t="str">
        <f t="shared" si="3"/>
        <v>Low Total Screen</v>
      </c>
      <c r="S281" s="2" t="str">
        <f t="shared" si="4"/>
        <v/>
      </c>
      <c r="T281" s="2" t="str">
        <f t="shared" si="5"/>
        <v/>
      </c>
      <c r="AA281" s="1">
        <v>0.67</v>
      </c>
      <c r="AB281" s="2">
        <f t="shared" si="6"/>
        <v>0.5128236264</v>
      </c>
    </row>
    <row r="282">
      <c r="A282" s="1" t="s">
        <v>349</v>
      </c>
      <c r="B282" s="1">
        <v>30.0</v>
      </c>
      <c r="C282" s="1" t="s">
        <v>30</v>
      </c>
      <c r="D282" s="1" t="s">
        <v>17</v>
      </c>
      <c r="E282" s="1" t="s">
        <v>18</v>
      </c>
      <c r="F282" s="1">
        <v>9.07</v>
      </c>
      <c r="G282" s="1">
        <v>3.61</v>
      </c>
      <c r="H282" s="1">
        <v>5.46</v>
      </c>
      <c r="I282" s="1">
        <v>7.16</v>
      </c>
      <c r="J282" s="1">
        <v>1.0</v>
      </c>
      <c r="K282" s="1">
        <v>10.0</v>
      </c>
      <c r="L282" s="1">
        <v>41.9</v>
      </c>
      <c r="M282" s="1">
        <v>50.0</v>
      </c>
      <c r="N282" s="1">
        <v>5.6</v>
      </c>
      <c r="O282" s="1">
        <v>12.8</v>
      </c>
      <c r="P282" s="2">
        <f t="shared" si="1"/>
        <v>0</v>
      </c>
      <c r="Q282" s="1" t="str">
        <f t="shared" si="2"/>
        <v>Low Leisure Screen</v>
      </c>
      <c r="R282" s="2" t="str">
        <f t="shared" si="3"/>
        <v>Low Total Screen</v>
      </c>
      <c r="S282" s="2" t="str">
        <f t="shared" si="4"/>
        <v/>
      </c>
      <c r="T282" s="2" t="str">
        <f t="shared" si="5"/>
        <v/>
      </c>
      <c r="AA282" s="1">
        <v>3.61</v>
      </c>
      <c r="AB282" s="2">
        <f t="shared" si="6"/>
        <v>1.528227857</v>
      </c>
    </row>
    <row r="283">
      <c r="A283" s="1" t="s">
        <v>350</v>
      </c>
      <c r="B283" s="1">
        <v>35.0</v>
      </c>
      <c r="C283" s="1" t="s">
        <v>30</v>
      </c>
      <c r="D283" s="1" t="s">
        <v>17</v>
      </c>
      <c r="E283" s="1" t="s">
        <v>23</v>
      </c>
      <c r="F283" s="1">
        <v>9.51</v>
      </c>
      <c r="G283" s="1">
        <v>1.26</v>
      </c>
      <c r="H283" s="1">
        <v>8.25</v>
      </c>
      <c r="I283" s="1">
        <v>6.46</v>
      </c>
      <c r="J283" s="1">
        <v>2.0</v>
      </c>
      <c r="K283" s="1">
        <v>7.1</v>
      </c>
      <c r="L283" s="1">
        <v>70.3</v>
      </c>
      <c r="M283" s="1">
        <v>98.0</v>
      </c>
      <c r="N283" s="1">
        <v>5.7</v>
      </c>
      <c r="O283" s="1">
        <v>35.2</v>
      </c>
      <c r="P283" s="2">
        <f t="shared" si="1"/>
        <v>0</v>
      </c>
      <c r="Q283" s="1" t="str">
        <f t="shared" si="2"/>
        <v>High Leisure Screen</v>
      </c>
      <c r="R283" s="2" t="str">
        <f t="shared" si="3"/>
        <v>High Total Screen</v>
      </c>
      <c r="S283" s="2" t="str">
        <f t="shared" si="4"/>
        <v>Lower Exercise</v>
      </c>
      <c r="T283" s="2" t="str">
        <f t="shared" si="5"/>
        <v>Lower Social</v>
      </c>
      <c r="AA283" s="1">
        <v>1.26</v>
      </c>
      <c r="AB283" s="2">
        <f t="shared" si="6"/>
        <v>0.8153648133</v>
      </c>
    </row>
    <row r="284">
      <c r="A284" s="1" t="s">
        <v>351</v>
      </c>
      <c r="B284" s="1">
        <v>42.0</v>
      </c>
      <c r="C284" s="1" t="s">
        <v>16</v>
      </c>
      <c r="D284" s="1" t="s">
        <v>17</v>
      </c>
      <c r="E284" s="1" t="s">
        <v>18</v>
      </c>
      <c r="F284" s="1">
        <v>14.09</v>
      </c>
      <c r="G284" s="1">
        <v>7.1</v>
      </c>
      <c r="H284" s="1">
        <v>6.99</v>
      </c>
      <c r="I284" s="1">
        <v>7.76</v>
      </c>
      <c r="J284" s="1">
        <v>2.0</v>
      </c>
      <c r="K284" s="1">
        <v>10.0</v>
      </c>
      <c r="L284" s="1">
        <v>51.3</v>
      </c>
      <c r="M284" s="1">
        <v>35.0</v>
      </c>
      <c r="N284" s="1">
        <v>3.3</v>
      </c>
      <c r="O284" s="1">
        <v>10.4</v>
      </c>
      <c r="P284" s="2">
        <f t="shared" si="1"/>
        <v>0</v>
      </c>
      <c r="Q284" s="1" t="str">
        <f t="shared" si="2"/>
        <v>High Leisure Screen</v>
      </c>
      <c r="R284" s="2" t="str">
        <f t="shared" si="3"/>
        <v>High Total Screen</v>
      </c>
      <c r="S284" s="2" t="str">
        <f t="shared" si="4"/>
        <v>Lower Exercise</v>
      </c>
      <c r="T284" s="2" t="str">
        <f t="shared" si="5"/>
        <v>Lower Social</v>
      </c>
      <c r="AA284" s="1">
        <v>7.1</v>
      </c>
      <c r="AB284" s="2">
        <f t="shared" si="6"/>
        <v>2.091864062</v>
      </c>
    </row>
    <row r="285">
      <c r="A285" s="1" t="s">
        <v>352</v>
      </c>
      <c r="B285" s="1">
        <v>20.0</v>
      </c>
      <c r="C285" s="1" t="s">
        <v>16</v>
      </c>
      <c r="D285" s="1" t="s">
        <v>37</v>
      </c>
      <c r="E285" s="1" t="s">
        <v>27</v>
      </c>
      <c r="F285" s="1">
        <v>5.59</v>
      </c>
      <c r="G285" s="1">
        <v>1.48</v>
      </c>
      <c r="H285" s="1">
        <v>4.11</v>
      </c>
      <c r="I285" s="1">
        <v>7.58</v>
      </c>
      <c r="J285" s="1">
        <v>2.0</v>
      </c>
      <c r="K285" s="1">
        <v>6.3</v>
      </c>
      <c r="L285" s="1">
        <v>75.1</v>
      </c>
      <c r="M285" s="1">
        <v>171.0</v>
      </c>
      <c r="N285" s="1">
        <v>13.4</v>
      </c>
      <c r="O285" s="1">
        <v>39.4</v>
      </c>
      <c r="P285" s="2">
        <f t="shared" si="1"/>
        <v>0</v>
      </c>
      <c r="Q285" s="1" t="str">
        <f t="shared" si="2"/>
        <v>Low Leisure Screen</v>
      </c>
      <c r="R285" s="2" t="str">
        <f t="shared" si="3"/>
        <v>Low Total Screen</v>
      </c>
      <c r="S285" s="2" t="str">
        <f t="shared" si="4"/>
        <v/>
      </c>
      <c r="T285" s="2" t="str">
        <f t="shared" si="5"/>
        <v/>
      </c>
      <c r="AA285" s="1">
        <v>1.48</v>
      </c>
      <c r="AB285" s="2">
        <f t="shared" si="6"/>
        <v>0.9082585602</v>
      </c>
    </row>
    <row r="286">
      <c r="A286" s="1" t="s">
        <v>353</v>
      </c>
      <c r="B286" s="1">
        <v>47.0</v>
      </c>
      <c r="C286" s="1" t="s">
        <v>34</v>
      </c>
      <c r="D286" s="1" t="s">
        <v>17</v>
      </c>
      <c r="E286" s="1" t="s">
        <v>23</v>
      </c>
      <c r="F286" s="1">
        <v>2.44</v>
      </c>
      <c r="G286" s="1">
        <v>0.29</v>
      </c>
      <c r="H286" s="1">
        <v>2.15</v>
      </c>
      <c r="I286" s="1">
        <v>6.04</v>
      </c>
      <c r="J286" s="1">
        <v>1.0</v>
      </c>
      <c r="K286" s="1">
        <v>6.7</v>
      </c>
      <c r="L286" s="1">
        <v>65.6</v>
      </c>
      <c r="M286" s="1">
        <v>132.0</v>
      </c>
      <c r="N286" s="1">
        <v>16.1</v>
      </c>
      <c r="O286" s="1">
        <v>28.4</v>
      </c>
      <c r="P286" s="2">
        <f t="shared" si="1"/>
        <v>0</v>
      </c>
      <c r="Q286" s="1" t="str">
        <f t="shared" si="2"/>
        <v>Low Leisure Screen</v>
      </c>
      <c r="R286" s="2" t="str">
        <f t="shared" si="3"/>
        <v>Low Total Screen</v>
      </c>
      <c r="S286" s="2" t="str">
        <f t="shared" si="4"/>
        <v/>
      </c>
      <c r="T286" s="2" t="str">
        <f t="shared" si="5"/>
        <v/>
      </c>
      <c r="AA286" s="1">
        <v>0.29</v>
      </c>
      <c r="AB286" s="2">
        <f t="shared" si="6"/>
        <v>0.2546422184</v>
      </c>
    </row>
    <row r="287">
      <c r="A287" s="1" t="s">
        <v>354</v>
      </c>
      <c r="B287" s="1">
        <v>16.0</v>
      </c>
      <c r="C287" s="1" t="s">
        <v>30</v>
      </c>
      <c r="D287" s="1" t="s">
        <v>17</v>
      </c>
      <c r="E287" s="1" t="s">
        <v>27</v>
      </c>
      <c r="F287" s="1">
        <v>8.38</v>
      </c>
      <c r="G287" s="1">
        <v>0.42</v>
      </c>
      <c r="H287" s="1">
        <v>7.96</v>
      </c>
      <c r="I287" s="1">
        <v>7.27</v>
      </c>
      <c r="J287" s="1">
        <v>2.0</v>
      </c>
      <c r="K287" s="1">
        <v>6.9</v>
      </c>
      <c r="L287" s="1">
        <v>75.7</v>
      </c>
      <c r="M287" s="1">
        <v>111.0</v>
      </c>
      <c r="N287" s="1">
        <v>5.1</v>
      </c>
      <c r="O287" s="1">
        <v>30.9</v>
      </c>
      <c r="P287" s="2">
        <f t="shared" si="1"/>
        <v>0</v>
      </c>
      <c r="Q287" s="1" t="str">
        <f t="shared" si="2"/>
        <v>High Leisure Screen</v>
      </c>
      <c r="R287" s="2" t="str">
        <f t="shared" si="3"/>
        <v>Low Total Screen</v>
      </c>
      <c r="S287" s="2" t="str">
        <f t="shared" si="4"/>
        <v/>
      </c>
      <c r="T287" s="2" t="str">
        <f t="shared" si="5"/>
        <v/>
      </c>
      <c r="AA287" s="1">
        <v>0.42</v>
      </c>
      <c r="AB287" s="2">
        <f t="shared" si="6"/>
        <v>0.3506568716</v>
      </c>
    </row>
    <row r="288">
      <c r="A288" s="1" t="s">
        <v>355</v>
      </c>
      <c r="B288" s="1">
        <v>28.0</v>
      </c>
      <c r="C288" s="1" t="s">
        <v>16</v>
      </c>
      <c r="D288" s="1" t="s">
        <v>32</v>
      </c>
      <c r="E288" s="1" t="s">
        <v>18</v>
      </c>
      <c r="F288" s="1">
        <v>9.26</v>
      </c>
      <c r="G288" s="1">
        <v>3.6</v>
      </c>
      <c r="H288" s="1">
        <v>5.66</v>
      </c>
      <c r="I288" s="1">
        <v>6.71</v>
      </c>
      <c r="J288" s="1">
        <v>1.0</v>
      </c>
      <c r="K288" s="1">
        <v>7.8</v>
      </c>
      <c r="L288" s="1">
        <v>43.6</v>
      </c>
      <c r="M288" s="1">
        <v>112.0</v>
      </c>
      <c r="N288" s="1">
        <v>5.8</v>
      </c>
      <c r="O288" s="1">
        <v>13.5</v>
      </c>
      <c r="P288" s="2">
        <f t="shared" si="1"/>
        <v>0</v>
      </c>
      <c r="Q288" s="1" t="str">
        <f t="shared" si="2"/>
        <v>Low Leisure Screen</v>
      </c>
      <c r="R288" s="2" t="str">
        <f t="shared" si="3"/>
        <v>High Total Screen</v>
      </c>
      <c r="S288" s="2" t="str">
        <f t="shared" si="4"/>
        <v>Higher Exercise</v>
      </c>
      <c r="T288" s="2" t="str">
        <f t="shared" si="5"/>
        <v>Lower Social</v>
      </c>
      <c r="AA288" s="1">
        <v>3.6</v>
      </c>
      <c r="AB288" s="2">
        <f t="shared" si="6"/>
        <v>1.526056303</v>
      </c>
    </row>
    <row r="289">
      <c r="A289" s="1" t="s">
        <v>356</v>
      </c>
      <c r="B289" s="1">
        <v>34.0</v>
      </c>
      <c r="C289" s="1" t="s">
        <v>30</v>
      </c>
      <c r="D289" s="1" t="s">
        <v>17</v>
      </c>
      <c r="E289" s="1" t="s">
        <v>27</v>
      </c>
      <c r="F289" s="1">
        <v>12.73</v>
      </c>
      <c r="G289" s="1">
        <v>2.63</v>
      </c>
      <c r="H289" s="1">
        <v>10.1</v>
      </c>
      <c r="I289" s="1">
        <v>6.47</v>
      </c>
      <c r="J289" s="1">
        <v>1.0</v>
      </c>
      <c r="K289" s="1">
        <v>10.0</v>
      </c>
      <c r="L289" s="1">
        <v>30.5</v>
      </c>
      <c r="M289" s="1">
        <v>97.0</v>
      </c>
      <c r="N289" s="1">
        <v>0.0</v>
      </c>
      <c r="O289" s="1">
        <v>6.4</v>
      </c>
      <c r="P289" s="2">
        <f t="shared" si="1"/>
        <v>0</v>
      </c>
      <c r="Q289" s="1" t="str">
        <f t="shared" si="2"/>
        <v>High Leisure Screen</v>
      </c>
      <c r="R289" s="2" t="str">
        <f t="shared" si="3"/>
        <v>High Total Screen</v>
      </c>
      <c r="S289" s="2" t="str">
        <f t="shared" si="4"/>
        <v>Lower Exercise</v>
      </c>
      <c r="T289" s="2" t="str">
        <f t="shared" si="5"/>
        <v>Lower Social</v>
      </c>
      <c r="AA289" s="1">
        <v>2.63</v>
      </c>
      <c r="AB289" s="2">
        <f t="shared" si="6"/>
        <v>1.289232648</v>
      </c>
    </row>
    <row r="290">
      <c r="A290" s="1" t="s">
        <v>357</v>
      </c>
      <c r="B290" s="1">
        <v>32.0</v>
      </c>
      <c r="C290" s="1" t="s">
        <v>30</v>
      </c>
      <c r="D290" s="1" t="s">
        <v>17</v>
      </c>
      <c r="E290" s="1" t="s">
        <v>27</v>
      </c>
      <c r="F290" s="1">
        <v>10.2</v>
      </c>
      <c r="G290" s="1">
        <v>0.51</v>
      </c>
      <c r="H290" s="1">
        <v>9.69</v>
      </c>
      <c r="I290" s="1">
        <v>6.6</v>
      </c>
      <c r="J290" s="1">
        <v>1.0</v>
      </c>
      <c r="K290" s="1">
        <v>10.0</v>
      </c>
      <c r="L290" s="1">
        <v>42.2</v>
      </c>
      <c r="M290" s="1">
        <v>96.0</v>
      </c>
      <c r="N290" s="1">
        <v>12.5</v>
      </c>
      <c r="O290" s="1">
        <v>0.0</v>
      </c>
      <c r="P290" s="2">
        <f t="shared" si="1"/>
        <v>0</v>
      </c>
      <c r="Q290" s="1" t="str">
        <f t="shared" si="2"/>
        <v>High Leisure Screen</v>
      </c>
      <c r="R290" s="2" t="str">
        <f t="shared" si="3"/>
        <v>High Total Screen</v>
      </c>
      <c r="S290" s="2" t="str">
        <f t="shared" si="4"/>
        <v>Lower Exercise</v>
      </c>
      <c r="T290" s="2" t="str">
        <f t="shared" si="5"/>
        <v>Higher Social</v>
      </c>
      <c r="AA290" s="1">
        <v>0.51</v>
      </c>
      <c r="AB290" s="2">
        <f t="shared" si="6"/>
        <v>0.4121096508</v>
      </c>
    </row>
    <row r="291">
      <c r="A291" s="1" t="s">
        <v>358</v>
      </c>
      <c r="B291" s="1">
        <v>25.0</v>
      </c>
      <c r="C291" s="1" t="s">
        <v>16</v>
      </c>
      <c r="D291" s="1" t="s">
        <v>32</v>
      </c>
      <c r="E291" s="1" t="s">
        <v>27</v>
      </c>
      <c r="F291" s="1">
        <v>11.67</v>
      </c>
      <c r="G291" s="1">
        <v>2.83</v>
      </c>
      <c r="H291" s="1">
        <v>8.84</v>
      </c>
      <c r="I291" s="1">
        <v>7.25</v>
      </c>
      <c r="J291" s="1">
        <v>1.0</v>
      </c>
      <c r="K291" s="1">
        <v>8.6</v>
      </c>
      <c r="L291" s="1">
        <v>59.6</v>
      </c>
      <c r="M291" s="1">
        <v>121.0</v>
      </c>
      <c r="N291" s="1">
        <v>7.1</v>
      </c>
      <c r="O291" s="1">
        <v>15.2</v>
      </c>
      <c r="P291" s="2">
        <f t="shared" si="1"/>
        <v>0</v>
      </c>
      <c r="Q291" s="1" t="str">
        <f t="shared" si="2"/>
        <v>High Leisure Screen</v>
      </c>
      <c r="R291" s="2" t="str">
        <f t="shared" si="3"/>
        <v>High Total Screen</v>
      </c>
      <c r="S291" s="2" t="str">
        <f t="shared" si="4"/>
        <v>Higher Exercise</v>
      </c>
      <c r="T291" s="2" t="str">
        <f t="shared" si="5"/>
        <v>Lower Social</v>
      </c>
      <c r="AA291" s="1">
        <v>2.83</v>
      </c>
      <c r="AB291" s="2">
        <f t="shared" si="6"/>
        <v>1.342864803</v>
      </c>
    </row>
    <row r="292">
      <c r="A292" s="1" t="s">
        <v>359</v>
      </c>
      <c r="B292" s="1">
        <v>28.0</v>
      </c>
      <c r="C292" s="1" t="s">
        <v>30</v>
      </c>
      <c r="D292" s="1" t="s">
        <v>32</v>
      </c>
      <c r="E292" s="1" t="s">
        <v>23</v>
      </c>
      <c r="F292" s="1">
        <v>9.75</v>
      </c>
      <c r="G292" s="1">
        <v>2.51</v>
      </c>
      <c r="H292" s="1">
        <v>7.24</v>
      </c>
      <c r="I292" s="1">
        <v>7.81</v>
      </c>
      <c r="J292" s="1">
        <v>2.0</v>
      </c>
      <c r="K292" s="1">
        <v>5.5</v>
      </c>
      <c r="L292" s="1">
        <v>66.2</v>
      </c>
      <c r="M292" s="1">
        <v>43.0</v>
      </c>
      <c r="N292" s="1">
        <v>5.3</v>
      </c>
      <c r="O292" s="1">
        <v>30.6</v>
      </c>
      <c r="P292" s="2">
        <f t="shared" si="1"/>
        <v>0</v>
      </c>
      <c r="Q292" s="1" t="str">
        <f t="shared" si="2"/>
        <v>High Leisure Screen</v>
      </c>
      <c r="R292" s="2" t="str">
        <f t="shared" si="3"/>
        <v>High Total Screen</v>
      </c>
      <c r="S292" s="2" t="str">
        <f t="shared" si="4"/>
        <v>Lower Exercise</v>
      </c>
      <c r="T292" s="2" t="str">
        <f t="shared" si="5"/>
        <v>Lower Social</v>
      </c>
      <c r="AA292" s="1">
        <v>2.51</v>
      </c>
      <c r="AB292" s="2">
        <f t="shared" si="6"/>
        <v>1.255616037</v>
      </c>
    </row>
    <row r="293">
      <c r="A293" s="1" t="s">
        <v>360</v>
      </c>
      <c r="B293" s="1">
        <v>26.0</v>
      </c>
      <c r="C293" s="1" t="s">
        <v>16</v>
      </c>
      <c r="D293" s="1" t="s">
        <v>17</v>
      </c>
      <c r="E293" s="1" t="s">
        <v>27</v>
      </c>
      <c r="F293" s="1">
        <v>5.03</v>
      </c>
      <c r="G293" s="1">
        <v>0.89</v>
      </c>
      <c r="H293" s="1">
        <v>4.14</v>
      </c>
      <c r="I293" s="1">
        <v>7.83</v>
      </c>
      <c r="J293" s="1">
        <v>1.0</v>
      </c>
      <c r="K293" s="1">
        <v>6.2</v>
      </c>
      <c r="L293" s="1">
        <v>64.6</v>
      </c>
      <c r="M293" s="1">
        <v>224.0</v>
      </c>
      <c r="N293" s="1">
        <v>12.7</v>
      </c>
      <c r="O293" s="1">
        <v>35.4</v>
      </c>
      <c r="P293" s="2">
        <f t="shared" si="1"/>
        <v>0</v>
      </c>
      <c r="Q293" s="1" t="str">
        <f t="shared" si="2"/>
        <v>Low Leisure Screen</v>
      </c>
      <c r="R293" s="2" t="str">
        <f t="shared" si="3"/>
        <v>Low Total Screen</v>
      </c>
      <c r="S293" s="2" t="str">
        <f t="shared" si="4"/>
        <v/>
      </c>
      <c r="T293" s="2" t="str">
        <f t="shared" si="5"/>
        <v/>
      </c>
      <c r="AA293" s="1">
        <v>0.89</v>
      </c>
      <c r="AB293" s="2">
        <f t="shared" si="6"/>
        <v>0.6365768291</v>
      </c>
    </row>
    <row r="294">
      <c r="A294" s="1" t="s">
        <v>361</v>
      </c>
      <c r="B294" s="1">
        <v>25.0</v>
      </c>
      <c r="C294" s="1" t="s">
        <v>16</v>
      </c>
      <c r="D294" s="1" t="s">
        <v>17</v>
      </c>
      <c r="E294" s="1" t="s">
        <v>27</v>
      </c>
      <c r="F294" s="1">
        <v>8.88</v>
      </c>
      <c r="G294" s="1">
        <v>0.44</v>
      </c>
      <c r="H294" s="1">
        <v>8.44</v>
      </c>
      <c r="I294" s="1">
        <v>6.75</v>
      </c>
      <c r="J294" s="1">
        <v>1.0</v>
      </c>
      <c r="K294" s="1">
        <v>8.4</v>
      </c>
      <c r="L294" s="1">
        <v>42.4</v>
      </c>
      <c r="M294" s="1">
        <v>86.0</v>
      </c>
      <c r="N294" s="1">
        <v>7.3</v>
      </c>
      <c r="O294" s="1">
        <v>11.4</v>
      </c>
      <c r="P294" s="2">
        <f t="shared" si="1"/>
        <v>0</v>
      </c>
      <c r="Q294" s="1" t="str">
        <f t="shared" si="2"/>
        <v>High Leisure Screen</v>
      </c>
      <c r="R294" s="2" t="str">
        <f t="shared" si="3"/>
        <v>Low Total Screen</v>
      </c>
      <c r="S294" s="2" t="str">
        <f t="shared" si="4"/>
        <v/>
      </c>
      <c r="T294" s="2" t="str">
        <f t="shared" si="5"/>
        <v/>
      </c>
      <c r="AA294" s="1">
        <v>0.44</v>
      </c>
      <c r="AB294" s="2">
        <f t="shared" si="6"/>
        <v>0.3646431136</v>
      </c>
    </row>
    <row r="295">
      <c r="A295" s="1" t="s">
        <v>362</v>
      </c>
      <c r="B295" s="1">
        <v>36.0</v>
      </c>
      <c r="C295" s="1" t="s">
        <v>16</v>
      </c>
      <c r="D295" s="1" t="s">
        <v>17</v>
      </c>
      <c r="E295" s="1" t="s">
        <v>23</v>
      </c>
      <c r="F295" s="1">
        <v>11.12</v>
      </c>
      <c r="G295" s="1">
        <v>1.17</v>
      </c>
      <c r="H295" s="1">
        <v>9.95</v>
      </c>
      <c r="I295" s="1">
        <v>6.76</v>
      </c>
      <c r="J295" s="1">
        <v>1.0</v>
      </c>
      <c r="K295" s="1">
        <v>10.0</v>
      </c>
      <c r="L295" s="1">
        <v>47.0</v>
      </c>
      <c r="M295" s="1">
        <v>2.0</v>
      </c>
      <c r="N295" s="1">
        <v>3.1</v>
      </c>
      <c r="O295" s="1">
        <v>2.0</v>
      </c>
      <c r="P295" s="2">
        <f t="shared" si="1"/>
        <v>0</v>
      </c>
      <c r="Q295" s="1" t="str">
        <f t="shared" si="2"/>
        <v>High Leisure Screen</v>
      </c>
      <c r="R295" s="2" t="str">
        <f t="shared" si="3"/>
        <v>High Total Screen</v>
      </c>
      <c r="S295" s="2" t="str">
        <f t="shared" si="4"/>
        <v>Lower Exercise</v>
      </c>
      <c r="T295" s="2" t="str">
        <f t="shared" si="5"/>
        <v>Lower Social</v>
      </c>
      <c r="AA295" s="1">
        <v>1.17</v>
      </c>
      <c r="AB295" s="2">
        <f t="shared" si="6"/>
        <v>0.7747271676</v>
      </c>
    </row>
    <row r="296">
      <c r="A296" s="1" t="s">
        <v>363</v>
      </c>
      <c r="B296" s="1">
        <v>32.0</v>
      </c>
      <c r="C296" s="1" t="s">
        <v>30</v>
      </c>
      <c r="D296" s="1" t="s">
        <v>43</v>
      </c>
      <c r="E296" s="1" t="s">
        <v>27</v>
      </c>
      <c r="F296" s="1">
        <v>5.35</v>
      </c>
      <c r="G296" s="1">
        <v>0.31</v>
      </c>
      <c r="H296" s="1">
        <v>5.04</v>
      </c>
      <c r="I296" s="1">
        <v>7.63</v>
      </c>
      <c r="J296" s="1">
        <v>2.0</v>
      </c>
      <c r="K296" s="1">
        <v>6.5</v>
      </c>
      <c r="L296" s="1">
        <v>75.7</v>
      </c>
      <c r="M296" s="1">
        <v>140.0</v>
      </c>
      <c r="N296" s="1">
        <v>10.6</v>
      </c>
      <c r="O296" s="1">
        <v>40.7</v>
      </c>
      <c r="P296" s="2">
        <f t="shared" si="1"/>
        <v>0</v>
      </c>
      <c r="Q296" s="1" t="str">
        <f t="shared" si="2"/>
        <v>Low Leisure Screen</v>
      </c>
      <c r="R296" s="2" t="str">
        <f t="shared" si="3"/>
        <v>Low Total Screen</v>
      </c>
      <c r="S296" s="2" t="str">
        <f t="shared" si="4"/>
        <v/>
      </c>
      <c r="T296" s="2" t="str">
        <f t="shared" si="5"/>
        <v/>
      </c>
      <c r="AA296" s="1">
        <v>0.31</v>
      </c>
      <c r="AB296" s="2">
        <f t="shared" si="6"/>
        <v>0.2700271372</v>
      </c>
    </row>
    <row r="297">
      <c r="A297" s="1" t="s">
        <v>364</v>
      </c>
      <c r="B297" s="1">
        <v>24.0</v>
      </c>
      <c r="C297" s="1" t="s">
        <v>16</v>
      </c>
      <c r="D297" s="1" t="s">
        <v>32</v>
      </c>
      <c r="E297" s="1" t="s">
        <v>18</v>
      </c>
      <c r="F297" s="1">
        <v>10.38</v>
      </c>
      <c r="G297" s="1">
        <v>4.83</v>
      </c>
      <c r="H297" s="1">
        <v>5.55</v>
      </c>
      <c r="I297" s="1">
        <v>6.14</v>
      </c>
      <c r="J297" s="1">
        <v>1.0</v>
      </c>
      <c r="K297" s="1">
        <v>9.5</v>
      </c>
      <c r="L297" s="1">
        <v>49.2</v>
      </c>
      <c r="M297" s="1">
        <v>33.0</v>
      </c>
      <c r="N297" s="1">
        <v>1.8</v>
      </c>
      <c r="O297" s="1">
        <v>4.0</v>
      </c>
      <c r="P297" s="2">
        <f t="shared" si="1"/>
        <v>0</v>
      </c>
      <c r="Q297" s="1" t="str">
        <f t="shared" si="2"/>
        <v>Low Leisure Screen</v>
      </c>
      <c r="R297" s="2" t="str">
        <f t="shared" si="3"/>
        <v>High Total Screen</v>
      </c>
      <c r="S297" s="2" t="str">
        <f t="shared" si="4"/>
        <v>Lower Exercise</v>
      </c>
      <c r="T297" s="2" t="str">
        <f t="shared" si="5"/>
        <v>Lower Social</v>
      </c>
      <c r="AA297" s="1">
        <v>4.83</v>
      </c>
      <c r="AB297" s="2">
        <f t="shared" si="6"/>
        <v>1.763017</v>
      </c>
    </row>
    <row r="298">
      <c r="A298" s="1" t="s">
        <v>366</v>
      </c>
      <c r="B298" s="1">
        <v>37.0</v>
      </c>
      <c r="C298" s="1" t="s">
        <v>16</v>
      </c>
      <c r="D298" s="1" t="s">
        <v>17</v>
      </c>
      <c r="E298" s="1" t="s">
        <v>27</v>
      </c>
      <c r="F298" s="1">
        <v>10.79</v>
      </c>
      <c r="G298" s="1">
        <v>0.54</v>
      </c>
      <c r="H298" s="1">
        <v>10.25</v>
      </c>
      <c r="I298" s="1">
        <v>7.31</v>
      </c>
      <c r="J298" s="1">
        <v>1.0</v>
      </c>
      <c r="K298" s="1">
        <v>7.8</v>
      </c>
      <c r="L298" s="1">
        <v>46.8</v>
      </c>
      <c r="M298" s="1">
        <v>143.0</v>
      </c>
      <c r="N298" s="1">
        <v>5.9</v>
      </c>
      <c r="O298" s="1">
        <v>19.1</v>
      </c>
      <c r="P298" s="2">
        <f t="shared" si="1"/>
        <v>0</v>
      </c>
      <c r="Q298" s="1" t="str">
        <f t="shared" si="2"/>
        <v>High Leisure Screen</v>
      </c>
      <c r="R298" s="2" t="str">
        <f t="shared" si="3"/>
        <v>High Total Screen</v>
      </c>
      <c r="S298" s="2" t="str">
        <f t="shared" si="4"/>
        <v>Higher Exercise</v>
      </c>
      <c r="T298" s="2" t="str">
        <f t="shared" si="5"/>
        <v>Lower Social</v>
      </c>
      <c r="AA298" s="1">
        <v>0.54</v>
      </c>
      <c r="AB298" s="2">
        <f t="shared" si="6"/>
        <v>0.4317824164</v>
      </c>
    </row>
    <row r="299">
      <c r="A299" s="1" t="s">
        <v>368</v>
      </c>
      <c r="B299" s="1">
        <v>32.0</v>
      </c>
      <c r="C299" s="1" t="s">
        <v>16</v>
      </c>
      <c r="D299" s="1" t="s">
        <v>43</v>
      </c>
      <c r="E299" s="1" t="s">
        <v>23</v>
      </c>
      <c r="F299" s="1">
        <v>7.38</v>
      </c>
      <c r="G299" s="1">
        <v>1.53</v>
      </c>
      <c r="H299" s="1">
        <v>5.85</v>
      </c>
      <c r="I299" s="1">
        <v>7.68</v>
      </c>
      <c r="J299" s="1">
        <v>2.0</v>
      </c>
      <c r="K299" s="1">
        <v>9.8</v>
      </c>
      <c r="L299" s="1">
        <v>49.5</v>
      </c>
      <c r="M299" s="1">
        <v>269.0</v>
      </c>
      <c r="N299" s="1">
        <v>6.9</v>
      </c>
      <c r="O299" s="1">
        <v>18.1</v>
      </c>
      <c r="P299" s="2">
        <f t="shared" si="1"/>
        <v>0</v>
      </c>
      <c r="Q299" s="1" t="str">
        <f t="shared" si="2"/>
        <v>Low Leisure Screen</v>
      </c>
      <c r="R299" s="2" t="str">
        <f t="shared" si="3"/>
        <v>Low Total Screen</v>
      </c>
      <c r="S299" s="2" t="str">
        <f t="shared" si="4"/>
        <v/>
      </c>
      <c r="T299" s="2" t="str">
        <f t="shared" si="5"/>
        <v/>
      </c>
      <c r="AA299" s="1">
        <v>1.53</v>
      </c>
      <c r="AB299" s="2">
        <f t="shared" si="6"/>
        <v>0.9282193027</v>
      </c>
    </row>
    <row r="300">
      <c r="A300" s="1" t="s">
        <v>369</v>
      </c>
      <c r="B300" s="1">
        <v>36.0</v>
      </c>
      <c r="C300" s="1" t="s">
        <v>30</v>
      </c>
      <c r="D300" s="1" t="s">
        <v>17</v>
      </c>
      <c r="E300" s="1" t="s">
        <v>18</v>
      </c>
      <c r="F300" s="1">
        <v>10.13</v>
      </c>
      <c r="G300" s="1">
        <v>2.61</v>
      </c>
      <c r="H300" s="1">
        <v>7.52</v>
      </c>
      <c r="I300" s="1">
        <v>8.17</v>
      </c>
      <c r="J300" s="1">
        <v>1.0</v>
      </c>
      <c r="K300" s="1">
        <v>8.6</v>
      </c>
      <c r="L300" s="1">
        <v>40.6</v>
      </c>
      <c r="M300" s="1">
        <v>45.0</v>
      </c>
      <c r="N300" s="1">
        <v>7.3</v>
      </c>
      <c r="O300" s="1">
        <v>9.0</v>
      </c>
      <c r="P300" s="2">
        <f t="shared" si="1"/>
        <v>0</v>
      </c>
      <c r="Q300" s="1" t="str">
        <f t="shared" si="2"/>
        <v>High Leisure Screen</v>
      </c>
      <c r="R300" s="2" t="str">
        <f t="shared" si="3"/>
        <v>High Total Screen</v>
      </c>
      <c r="S300" s="2" t="str">
        <f t="shared" si="4"/>
        <v>Lower Exercise</v>
      </c>
      <c r="T300" s="2" t="str">
        <f t="shared" si="5"/>
        <v>Lower Social</v>
      </c>
      <c r="AA300" s="1">
        <v>2.61</v>
      </c>
      <c r="AB300" s="2">
        <f t="shared" si="6"/>
        <v>1.283707772</v>
      </c>
    </row>
    <row r="301">
      <c r="A301" s="1" t="s">
        <v>371</v>
      </c>
      <c r="B301" s="1">
        <v>35.0</v>
      </c>
      <c r="C301" s="1" t="s">
        <v>30</v>
      </c>
      <c r="D301" s="1" t="s">
        <v>17</v>
      </c>
      <c r="E301" s="1" t="s">
        <v>27</v>
      </c>
      <c r="F301" s="1">
        <v>6.4</v>
      </c>
      <c r="G301" s="1">
        <v>0.54</v>
      </c>
      <c r="H301" s="1">
        <v>5.86</v>
      </c>
      <c r="I301" s="1">
        <v>8.49</v>
      </c>
      <c r="J301" s="1">
        <v>1.0</v>
      </c>
      <c r="K301" s="1">
        <v>5.5</v>
      </c>
      <c r="L301" s="1">
        <v>66.9</v>
      </c>
      <c r="M301" s="1">
        <v>145.0</v>
      </c>
      <c r="N301" s="1">
        <v>8.6</v>
      </c>
      <c r="O301" s="1">
        <v>36.9</v>
      </c>
      <c r="P301" s="2">
        <f t="shared" si="1"/>
        <v>0</v>
      </c>
      <c r="Q301" s="1" t="str">
        <f t="shared" si="2"/>
        <v>Low Leisure Screen</v>
      </c>
      <c r="R301" s="2" t="str">
        <f t="shared" si="3"/>
        <v>Low Total Screen</v>
      </c>
      <c r="S301" s="2" t="str">
        <f t="shared" si="4"/>
        <v/>
      </c>
      <c r="T301" s="2" t="str">
        <f t="shared" si="5"/>
        <v/>
      </c>
      <c r="AA301" s="1">
        <v>0.54</v>
      </c>
      <c r="AB301" s="2">
        <f t="shared" si="6"/>
        <v>0.4317824164</v>
      </c>
    </row>
    <row r="302">
      <c r="A302" s="1" t="s">
        <v>373</v>
      </c>
      <c r="B302" s="1">
        <v>23.0</v>
      </c>
      <c r="C302" s="1" t="s">
        <v>16</v>
      </c>
      <c r="D302" s="1" t="s">
        <v>17</v>
      </c>
      <c r="E302" s="1" t="s">
        <v>18</v>
      </c>
      <c r="F302" s="1">
        <v>8.62</v>
      </c>
      <c r="G302" s="1">
        <v>3.15</v>
      </c>
      <c r="H302" s="1">
        <v>5.47</v>
      </c>
      <c r="I302" s="1">
        <v>6.49</v>
      </c>
      <c r="J302" s="1">
        <v>1.0</v>
      </c>
      <c r="K302" s="1">
        <v>10.0</v>
      </c>
      <c r="L302" s="1">
        <v>38.6</v>
      </c>
      <c r="M302" s="1">
        <v>0.0</v>
      </c>
      <c r="N302" s="1">
        <v>15.5</v>
      </c>
      <c r="O302" s="1">
        <v>4.9</v>
      </c>
      <c r="P302" s="2">
        <f t="shared" si="1"/>
        <v>0</v>
      </c>
      <c r="Q302" s="1" t="str">
        <f t="shared" si="2"/>
        <v>Low Leisure Screen</v>
      </c>
      <c r="R302" s="2" t="str">
        <f t="shared" si="3"/>
        <v>Low Total Screen</v>
      </c>
      <c r="S302" s="2" t="str">
        <f t="shared" si="4"/>
        <v/>
      </c>
      <c r="T302" s="2" t="str">
        <f t="shared" si="5"/>
        <v/>
      </c>
      <c r="AA302" s="1">
        <v>3.15</v>
      </c>
      <c r="AB302" s="2">
        <f t="shared" si="6"/>
        <v>1.423108334</v>
      </c>
    </row>
    <row r="303">
      <c r="A303" s="1" t="s">
        <v>376</v>
      </c>
      <c r="B303" s="1">
        <v>25.0</v>
      </c>
      <c r="C303" s="1" t="s">
        <v>16</v>
      </c>
      <c r="D303" s="1" t="s">
        <v>17</v>
      </c>
      <c r="E303" s="1" t="s">
        <v>27</v>
      </c>
      <c r="F303" s="1">
        <v>11.05</v>
      </c>
      <c r="G303" s="1">
        <v>0.81</v>
      </c>
      <c r="H303" s="1">
        <v>10.24</v>
      </c>
      <c r="I303" s="1">
        <v>7.35</v>
      </c>
      <c r="J303" s="1">
        <v>1.0</v>
      </c>
      <c r="K303" s="1">
        <v>10.0</v>
      </c>
      <c r="L303" s="1">
        <v>34.4</v>
      </c>
      <c r="M303" s="1">
        <v>121.0</v>
      </c>
      <c r="N303" s="1">
        <v>6.4</v>
      </c>
      <c r="O303" s="1">
        <v>3.6</v>
      </c>
      <c r="P303" s="2">
        <f t="shared" si="1"/>
        <v>0</v>
      </c>
      <c r="Q303" s="1" t="str">
        <f t="shared" si="2"/>
        <v>High Leisure Screen</v>
      </c>
      <c r="R303" s="2" t="str">
        <f t="shared" si="3"/>
        <v>High Total Screen</v>
      </c>
      <c r="S303" s="2" t="str">
        <f t="shared" si="4"/>
        <v>Higher Exercise</v>
      </c>
      <c r="T303" s="2" t="str">
        <f t="shared" si="5"/>
        <v>Lower Social</v>
      </c>
      <c r="AA303" s="1">
        <v>0.81</v>
      </c>
      <c r="AB303" s="2">
        <f t="shared" si="6"/>
        <v>0.5933268453</v>
      </c>
    </row>
    <row r="304">
      <c r="A304" s="1" t="s">
        <v>377</v>
      </c>
      <c r="B304" s="1">
        <v>35.0</v>
      </c>
      <c r="C304" s="1" t="s">
        <v>30</v>
      </c>
      <c r="D304" s="1" t="s">
        <v>37</v>
      </c>
      <c r="E304" s="1" t="s">
        <v>18</v>
      </c>
      <c r="F304" s="1">
        <v>8.55</v>
      </c>
      <c r="G304" s="1">
        <v>2.65</v>
      </c>
      <c r="H304" s="1">
        <v>5.9</v>
      </c>
      <c r="I304" s="1">
        <v>6.41</v>
      </c>
      <c r="J304" s="1">
        <v>1.0</v>
      </c>
      <c r="K304" s="1">
        <v>8.7</v>
      </c>
      <c r="L304" s="1">
        <v>47.8</v>
      </c>
      <c r="M304" s="1">
        <v>47.0</v>
      </c>
      <c r="N304" s="1">
        <v>0.0</v>
      </c>
      <c r="O304" s="1">
        <v>10.7</v>
      </c>
      <c r="P304" s="2">
        <f t="shared" si="1"/>
        <v>0</v>
      </c>
      <c r="Q304" s="1" t="str">
        <f t="shared" si="2"/>
        <v>Low Leisure Screen</v>
      </c>
      <c r="R304" s="2" t="str">
        <f t="shared" si="3"/>
        <v>Low Total Screen</v>
      </c>
      <c r="S304" s="2" t="str">
        <f t="shared" si="4"/>
        <v/>
      </c>
      <c r="T304" s="2" t="str">
        <f t="shared" si="5"/>
        <v/>
      </c>
      <c r="AA304" s="1">
        <v>2.65</v>
      </c>
      <c r="AB304" s="2">
        <f t="shared" si="6"/>
        <v>1.294727168</v>
      </c>
    </row>
    <row r="305">
      <c r="A305" s="1" t="s">
        <v>381</v>
      </c>
      <c r="B305" s="1">
        <v>34.0</v>
      </c>
      <c r="C305" s="1" t="s">
        <v>16</v>
      </c>
      <c r="D305" s="1" t="s">
        <v>17</v>
      </c>
      <c r="E305" s="1" t="s">
        <v>27</v>
      </c>
      <c r="F305" s="1">
        <v>10.36</v>
      </c>
      <c r="G305" s="1">
        <v>0.52</v>
      </c>
      <c r="H305" s="1">
        <v>9.84</v>
      </c>
      <c r="I305" s="1">
        <v>7.44</v>
      </c>
      <c r="J305" s="1">
        <v>2.0</v>
      </c>
      <c r="K305" s="1">
        <v>9.8</v>
      </c>
      <c r="L305" s="1">
        <v>46.3</v>
      </c>
      <c r="M305" s="1">
        <v>54.0</v>
      </c>
      <c r="N305" s="1">
        <v>0.0</v>
      </c>
      <c r="O305" s="1">
        <v>20.7</v>
      </c>
      <c r="P305" s="2">
        <f t="shared" si="1"/>
        <v>0</v>
      </c>
      <c r="Q305" s="1" t="str">
        <f t="shared" si="2"/>
        <v>High Leisure Screen</v>
      </c>
      <c r="R305" s="2" t="str">
        <f t="shared" si="3"/>
        <v>High Total Screen</v>
      </c>
      <c r="S305" s="2" t="str">
        <f t="shared" si="4"/>
        <v>Lower Exercise</v>
      </c>
      <c r="T305" s="2" t="str">
        <f t="shared" si="5"/>
        <v>Lower Social</v>
      </c>
      <c r="AA305" s="1">
        <v>0.52</v>
      </c>
      <c r="AB305" s="2">
        <f t="shared" si="6"/>
        <v>0.4187103349</v>
      </c>
    </row>
    <row r="306">
      <c r="A306" s="1" t="s">
        <v>385</v>
      </c>
      <c r="B306" s="1">
        <v>29.0</v>
      </c>
      <c r="C306" s="1" t="s">
        <v>16</v>
      </c>
      <c r="D306" s="1" t="s">
        <v>35</v>
      </c>
      <c r="E306" s="1" t="s">
        <v>27</v>
      </c>
      <c r="F306" s="1">
        <v>6.82</v>
      </c>
      <c r="G306" s="1">
        <v>0.98</v>
      </c>
      <c r="H306" s="1">
        <v>5.84</v>
      </c>
      <c r="I306" s="1">
        <v>6.95</v>
      </c>
      <c r="J306" s="1">
        <v>1.0</v>
      </c>
      <c r="K306" s="1">
        <v>9.1</v>
      </c>
      <c r="L306" s="1">
        <v>48.1</v>
      </c>
      <c r="M306" s="1">
        <v>39.0</v>
      </c>
      <c r="N306" s="1">
        <v>8.2</v>
      </c>
      <c r="O306" s="1">
        <v>10.0</v>
      </c>
      <c r="P306" s="2">
        <f t="shared" si="1"/>
        <v>0</v>
      </c>
      <c r="Q306" s="1" t="str">
        <f t="shared" si="2"/>
        <v>Low Leisure Screen</v>
      </c>
      <c r="R306" s="2" t="str">
        <f t="shared" si="3"/>
        <v>Low Total Screen</v>
      </c>
      <c r="S306" s="2" t="str">
        <f t="shared" si="4"/>
        <v/>
      </c>
      <c r="T306" s="2" t="str">
        <f t="shared" si="5"/>
        <v/>
      </c>
      <c r="AA306" s="1">
        <v>0.98</v>
      </c>
      <c r="AB306" s="2">
        <f t="shared" si="6"/>
        <v>0.6830968447</v>
      </c>
    </row>
    <row r="307">
      <c r="A307" s="1" t="s">
        <v>388</v>
      </c>
      <c r="B307" s="1">
        <v>30.0</v>
      </c>
      <c r="C307" s="1" t="s">
        <v>16</v>
      </c>
      <c r="D307" s="1" t="s">
        <v>32</v>
      </c>
      <c r="E307" s="1" t="s">
        <v>18</v>
      </c>
      <c r="F307" s="1">
        <v>12.63</v>
      </c>
      <c r="G307" s="1">
        <v>1.68</v>
      </c>
      <c r="H307" s="1">
        <v>10.95</v>
      </c>
      <c r="I307" s="1">
        <v>5.69</v>
      </c>
      <c r="J307" s="1">
        <v>1.0</v>
      </c>
      <c r="K307" s="1">
        <v>10.0</v>
      </c>
      <c r="L307" s="1">
        <v>41.9</v>
      </c>
      <c r="M307" s="1">
        <v>133.0</v>
      </c>
      <c r="N307" s="1">
        <v>1.9</v>
      </c>
      <c r="O307" s="1">
        <v>10.7</v>
      </c>
      <c r="P307" s="2">
        <f t="shared" si="1"/>
        <v>0</v>
      </c>
      <c r="Q307" s="1" t="str">
        <f t="shared" si="2"/>
        <v>High Leisure Screen</v>
      </c>
      <c r="R307" s="2" t="str">
        <f t="shared" si="3"/>
        <v>High Total Screen</v>
      </c>
      <c r="S307" s="2" t="str">
        <f t="shared" si="4"/>
        <v>Higher Exercise</v>
      </c>
      <c r="T307" s="2" t="str">
        <f t="shared" si="5"/>
        <v>Lower Social</v>
      </c>
      <c r="AA307" s="1">
        <v>1.68</v>
      </c>
      <c r="AB307" s="2">
        <f t="shared" si="6"/>
        <v>0.9858167945</v>
      </c>
    </row>
    <row r="308">
      <c r="A308" s="1" t="s">
        <v>391</v>
      </c>
      <c r="B308" s="1">
        <v>40.0</v>
      </c>
      <c r="C308" s="1" t="s">
        <v>16</v>
      </c>
      <c r="D308" s="1" t="s">
        <v>32</v>
      </c>
      <c r="E308" s="1" t="s">
        <v>27</v>
      </c>
      <c r="F308" s="1">
        <v>10.07</v>
      </c>
      <c r="G308" s="1">
        <v>1.71</v>
      </c>
      <c r="H308" s="1">
        <v>8.36</v>
      </c>
      <c r="I308" s="1">
        <v>7.21</v>
      </c>
      <c r="J308" s="1">
        <v>1.0</v>
      </c>
      <c r="K308" s="1">
        <v>10.0</v>
      </c>
      <c r="L308" s="1">
        <v>43.4</v>
      </c>
      <c r="M308" s="1">
        <v>173.0</v>
      </c>
      <c r="N308" s="1">
        <v>6.5</v>
      </c>
      <c r="O308" s="1">
        <v>8.1</v>
      </c>
      <c r="P308" s="2">
        <f t="shared" si="1"/>
        <v>0</v>
      </c>
      <c r="Q308" s="1" t="str">
        <f t="shared" si="2"/>
        <v>High Leisure Screen</v>
      </c>
      <c r="R308" s="2" t="str">
        <f t="shared" si="3"/>
        <v>High Total Screen</v>
      </c>
      <c r="S308" s="2" t="str">
        <f t="shared" si="4"/>
        <v>Higher Exercise</v>
      </c>
      <c r="T308" s="2" t="str">
        <f t="shared" si="5"/>
        <v>Lower Social</v>
      </c>
      <c r="AA308" s="1">
        <v>1.71</v>
      </c>
      <c r="AB308" s="2">
        <f t="shared" si="6"/>
        <v>0.9969486349</v>
      </c>
    </row>
    <row r="309">
      <c r="A309" s="1" t="s">
        <v>392</v>
      </c>
      <c r="B309" s="1">
        <v>25.0</v>
      </c>
      <c r="C309" s="1" t="s">
        <v>16</v>
      </c>
      <c r="D309" s="1" t="s">
        <v>32</v>
      </c>
      <c r="E309" s="1" t="s">
        <v>23</v>
      </c>
      <c r="F309" s="1">
        <v>10.44</v>
      </c>
      <c r="G309" s="1">
        <v>1.87</v>
      </c>
      <c r="H309" s="1">
        <v>8.57</v>
      </c>
      <c r="I309" s="1">
        <v>4.64</v>
      </c>
      <c r="J309" s="1">
        <v>1.0</v>
      </c>
      <c r="K309" s="1">
        <v>7.1</v>
      </c>
      <c r="L309" s="1">
        <v>52.2</v>
      </c>
      <c r="M309" s="1">
        <v>94.0</v>
      </c>
      <c r="N309" s="1">
        <v>5.5</v>
      </c>
      <c r="O309" s="1">
        <v>9.4</v>
      </c>
      <c r="P309" s="2">
        <f t="shared" si="1"/>
        <v>0</v>
      </c>
      <c r="Q309" s="1" t="str">
        <f t="shared" si="2"/>
        <v>High Leisure Screen</v>
      </c>
      <c r="R309" s="2" t="str">
        <f t="shared" si="3"/>
        <v>High Total Screen</v>
      </c>
      <c r="S309" s="2" t="str">
        <f t="shared" si="4"/>
        <v>Lower Exercise</v>
      </c>
      <c r="T309" s="2" t="str">
        <f t="shared" si="5"/>
        <v>Lower Social</v>
      </c>
      <c r="AA309" s="1">
        <v>1.87</v>
      </c>
      <c r="AB309" s="2">
        <f t="shared" si="6"/>
        <v>1.05431203</v>
      </c>
    </row>
    <row r="310">
      <c r="A310" s="1" t="s">
        <v>393</v>
      </c>
      <c r="B310" s="1">
        <v>34.0</v>
      </c>
      <c r="C310" s="1" t="s">
        <v>16</v>
      </c>
      <c r="D310" s="1" t="s">
        <v>17</v>
      </c>
      <c r="E310" s="1" t="s">
        <v>23</v>
      </c>
      <c r="F310" s="1">
        <v>7.77</v>
      </c>
      <c r="G310" s="1">
        <v>1.38</v>
      </c>
      <c r="H310" s="1">
        <v>6.39</v>
      </c>
      <c r="I310" s="1">
        <v>5.87</v>
      </c>
      <c r="J310" s="1">
        <v>1.0</v>
      </c>
      <c r="K310" s="1">
        <v>9.4</v>
      </c>
      <c r="L310" s="1">
        <v>49.8</v>
      </c>
      <c r="M310" s="1">
        <v>53.0</v>
      </c>
      <c r="N310" s="1">
        <v>5.6</v>
      </c>
      <c r="O310" s="1">
        <v>14.8</v>
      </c>
      <c r="P310" s="2">
        <f t="shared" si="1"/>
        <v>0</v>
      </c>
      <c r="Q310" s="1" t="str">
        <f t="shared" si="2"/>
        <v>Low Leisure Screen</v>
      </c>
      <c r="R310" s="2" t="str">
        <f t="shared" si="3"/>
        <v>Low Total Screen</v>
      </c>
      <c r="S310" s="2" t="str">
        <f t="shared" si="4"/>
        <v/>
      </c>
      <c r="T310" s="2" t="str">
        <f t="shared" si="5"/>
        <v/>
      </c>
      <c r="AA310" s="1">
        <v>1.38</v>
      </c>
      <c r="AB310" s="2">
        <f t="shared" si="6"/>
        <v>0.8671004877</v>
      </c>
    </row>
    <row r="311">
      <c r="A311" s="1" t="s">
        <v>394</v>
      </c>
      <c r="B311" s="1">
        <v>28.0</v>
      </c>
      <c r="C311" s="1" t="s">
        <v>16</v>
      </c>
      <c r="D311" s="1" t="s">
        <v>17</v>
      </c>
      <c r="E311" s="1" t="s">
        <v>18</v>
      </c>
      <c r="F311" s="1">
        <v>8.45</v>
      </c>
      <c r="G311" s="1">
        <v>2.96</v>
      </c>
      <c r="H311" s="1">
        <v>5.49</v>
      </c>
      <c r="I311" s="1">
        <v>6.97</v>
      </c>
      <c r="J311" s="1">
        <v>2.0</v>
      </c>
      <c r="K311" s="1">
        <v>6.3</v>
      </c>
      <c r="L311" s="1">
        <v>60.2</v>
      </c>
      <c r="M311" s="1">
        <v>218.0</v>
      </c>
      <c r="N311" s="1">
        <v>0.0</v>
      </c>
      <c r="O311" s="1">
        <v>39.6</v>
      </c>
      <c r="P311" s="2">
        <f t="shared" si="1"/>
        <v>0</v>
      </c>
      <c r="Q311" s="1" t="str">
        <f t="shared" si="2"/>
        <v>Low Leisure Screen</v>
      </c>
      <c r="R311" s="2" t="str">
        <f t="shared" si="3"/>
        <v>Low Total Screen</v>
      </c>
      <c r="S311" s="2" t="str">
        <f t="shared" si="4"/>
        <v/>
      </c>
      <c r="T311" s="2" t="str">
        <f t="shared" si="5"/>
        <v/>
      </c>
      <c r="AA311" s="1">
        <v>2.96</v>
      </c>
      <c r="AB311" s="2">
        <f t="shared" si="6"/>
        <v>1.376244025</v>
      </c>
    </row>
    <row r="312">
      <c r="A312" s="1" t="s">
        <v>395</v>
      </c>
      <c r="B312" s="1">
        <v>28.0</v>
      </c>
      <c r="C312" s="1" t="s">
        <v>30</v>
      </c>
      <c r="D312" s="1" t="s">
        <v>35</v>
      </c>
      <c r="E312" s="1" t="s">
        <v>18</v>
      </c>
      <c r="F312" s="1">
        <v>7.77</v>
      </c>
      <c r="G312" s="1">
        <v>3.57</v>
      </c>
      <c r="H312" s="1">
        <v>4.2</v>
      </c>
      <c r="I312" s="1">
        <v>7.28</v>
      </c>
      <c r="J312" s="1">
        <v>2.0</v>
      </c>
      <c r="K312" s="1">
        <v>9.1</v>
      </c>
      <c r="L312" s="1">
        <v>56.6</v>
      </c>
      <c r="M312" s="1">
        <v>58.0</v>
      </c>
      <c r="N312" s="1">
        <v>5.7</v>
      </c>
      <c r="O312" s="1">
        <v>19.0</v>
      </c>
      <c r="P312" s="2">
        <f t="shared" si="1"/>
        <v>0</v>
      </c>
      <c r="Q312" s="1" t="str">
        <f t="shared" si="2"/>
        <v>Low Leisure Screen</v>
      </c>
      <c r="R312" s="2" t="str">
        <f t="shared" si="3"/>
        <v>Low Total Screen</v>
      </c>
      <c r="S312" s="2" t="str">
        <f t="shared" si="4"/>
        <v/>
      </c>
      <c r="T312" s="2" t="str">
        <f t="shared" si="5"/>
        <v/>
      </c>
      <c r="AA312" s="1">
        <v>3.57</v>
      </c>
      <c r="AB312" s="2">
        <f t="shared" si="6"/>
        <v>1.519513205</v>
      </c>
    </row>
    <row r="313">
      <c r="A313" s="1" t="s">
        <v>396</v>
      </c>
      <c r="B313" s="1">
        <v>38.0</v>
      </c>
      <c r="C313" s="1" t="s">
        <v>16</v>
      </c>
      <c r="D313" s="1" t="s">
        <v>17</v>
      </c>
      <c r="E313" s="1" t="s">
        <v>18</v>
      </c>
      <c r="F313" s="1">
        <v>8.56</v>
      </c>
      <c r="G313" s="1">
        <v>3.17</v>
      </c>
      <c r="H313" s="1">
        <v>5.39</v>
      </c>
      <c r="I313" s="1">
        <v>6.9</v>
      </c>
      <c r="J313" s="1">
        <v>1.0</v>
      </c>
      <c r="K313" s="1">
        <v>9.1</v>
      </c>
      <c r="L313" s="1">
        <v>49.7</v>
      </c>
      <c r="M313" s="1">
        <v>0.0</v>
      </c>
      <c r="N313" s="1">
        <v>11.4</v>
      </c>
      <c r="O313" s="1">
        <v>8.8</v>
      </c>
      <c r="P313" s="2">
        <f t="shared" si="1"/>
        <v>0</v>
      </c>
      <c r="Q313" s="1" t="str">
        <f t="shared" si="2"/>
        <v>Low Leisure Screen</v>
      </c>
      <c r="R313" s="2" t="str">
        <f t="shared" si="3"/>
        <v>Low Total Screen</v>
      </c>
      <c r="S313" s="2" t="str">
        <f t="shared" si="4"/>
        <v/>
      </c>
      <c r="T313" s="2" t="str">
        <f t="shared" si="5"/>
        <v/>
      </c>
      <c r="AA313" s="1">
        <v>3.17</v>
      </c>
      <c r="AB313" s="2">
        <f t="shared" si="6"/>
        <v>1.427916036</v>
      </c>
    </row>
    <row r="314">
      <c r="A314" s="1" t="s">
        <v>397</v>
      </c>
      <c r="B314" s="1">
        <v>36.0</v>
      </c>
      <c r="C314" s="1" t="s">
        <v>30</v>
      </c>
      <c r="D314" s="1" t="s">
        <v>43</v>
      </c>
      <c r="E314" s="1" t="s">
        <v>23</v>
      </c>
      <c r="F314" s="1">
        <v>5.18</v>
      </c>
      <c r="G314" s="1">
        <v>0.73</v>
      </c>
      <c r="H314" s="1">
        <v>4.45</v>
      </c>
      <c r="I314" s="1">
        <v>6.42</v>
      </c>
      <c r="J314" s="1">
        <v>1.0</v>
      </c>
      <c r="K314" s="1">
        <v>5.1</v>
      </c>
      <c r="L314" s="1">
        <v>60.8</v>
      </c>
      <c r="M314" s="1">
        <v>162.0</v>
      </c>
      <c r="N314" s="1">
        <v>8.2</v>
      </c>
      <c r="O314" s="1">
        <v>33.6</v>
      </c>
      <c r="P314" s="2">
        <f t="shared" si="1"/>
        <v>0</v>
      </c>
      <c r="Q314" s="1" t="str">
        <f t="shared" si="2"/>
        <v>Low Leisure Screen</v>
      </c>
      <c r="R314" s="2" t="str">
        <f t="shared" si="3"/>
        <v>Low Total Screen</v>
      </c>
      <c r="S314" s="2" t="str">
        <f t="shared" si="4"/>
        <v/>
      </c>
      <c r="T314" s="2" t="str">
        <f t="shared" si="5"/>
        <v/>
      </c>
      <c r="AA314" s="1">
        <v>0.73</v>
      </c>
      <c r="AB314" s="2">
        <f t="shared" si="6"/>
        <v>0.5481214085</v>
      </c>
    </row>
    <row r="315">
      <c r="A315" s="1" t="s">
        <v>398</v>
      </c>
      <c r="B315" s="1">
        <v>36.0</v>
      </c>
      <c r="C315" s="1" t="s">
        <v>30</v>
      </c>
      <c r="D315" s="1" t="s">
        <v>32</v>
      </c>
      <c r="E315" s="1" t="s">
        <v>23</v>
      </c>
      <c r="F315" s="1">
        <v>9.55</v>
      </c>
      <c r="G315" s="1">
        <v>1.33</v>
      </c>
      <c r="H315" s="1">
        <v>8.22</v>
      </c>
      <c r="I315" s="1">
        <v>6.37</v>
      </c>
      <c r="J315" s="1">
        <v>1.0</v>
      </c>
      <c r="K315" s="1">
        <v>10.0</v>
      </c>
      <c r="L315" s="1">
        <v>49.6</v>
      </c>
      <c r="M315" s="1">
        <v>26.0</v>
      </c>
      <c r="N315" s="1">
        <v>0.0</v>
      </c>
      <c r="O315" s="1">
        <v>4.6</v>
      </c>
      <c r="P315" s="2">
        <f t="shared" si="1"/>
        <v>0</v>
      </c>
      <c r="Q315" s="1" t="str">
        <f t="shared" si="2"/>
        <v>High Leisure Screen</v>
      </c>
      <c r="R315" s="2" t="str">
        <f t="shared" si="3"/>
        <v>High Total Screen</v>
      </c>
      <c r="S315" s="2" t="str">
        <f t="shared" si="4"/>
        <v>Lower Exercise</v>
      </c>
      <c r="T315" s="2" t="str">
        <f t="shared" si="5"/>
        <v>Lower Social</v>
      </c>
      <c r="AA315" s="1">
        <v>1.33</v>
      </c>
      <c r="AB315" s="2">
        <f t="shared" si="6"/>
        <v>0.8458682676</v>
      </c>
    </row>
    <row r="316">
      <c r="A316" s="1" t="s">
        <v>399</v>
      </c>
      <c r="B316" s="1">
        <v>40.0</v>
      </c>
      <c r="C316" s="1" t="s">
        <v>16</v>
      </c>
      <c r="D316" s="1" t="s">
        <v>35</v>
      </c>
      <c r="E316" s="1" t="s">
        <v>27</v>
      </c>
      <c r="F316" s="1">
        <v>9.73</v>
      </c>
      <c r="G316" s="1">
        <v>1.55</v>
      </c>
      <c r="H316" s="1">
        <v>8.18</v>
      </c>
      <c r="I316" s="1">
        <v>7.35</v>
      </c>
      <c r="J316" s="1">
        <v>1.0</v>
      </c>
      <c r="K316" s="1">
        <v>10.0</v>
      </c>
      <c r="L316" s="1">
        <v>38.1</v>
      </c>
      <c r="M316" s="1">
        <v>174.0</v>
      </c>
      <c r="N316" s="1">
        <v>7.8</v>
      </c>
      <c r="O316" s="1">
        <v>0.0</v>
      </c>
      <c r="P316" s="2">
        <f t="shared" si="1"/>
        <v>0</v>
      </c>
      <c r="Q316" s="1" t="str">
        <f t="shared" si="2"/>
        <v>High Leisure Screen</v>
      </c>
      <c r="R316" s="2" t="str">
        <f t="shared" si="3"/>
        <v>High Total Screen</v>
      </c>
      <c r="S316" s="2" t="str">
        <f t="shared" si="4"/>
        <v>Higher Exercise</v>
      </c>
      <c r="T316" s="2" t="str">
        <f t="shared" si="5"/>
        <v>Higher Social</v>
      </c>
      <c r="AA316" s="1">
        <v>1.55</v>
      </c>
      <c r="AB316" s="2">
        <f t="shared" si="6"/>
        <v>0.9360933592</v>
      </c>
    </row>
    <row r="317">
      <c r="A317" s="1" t="s">
        <v>400</v>
      </c>
      <c r="B317" s="1">
        <v>30.0</v>
      </c>
      <c r="C317" s="1" t="s">
        <v>30</v>
      </c>
      <c r="D317" s="1" t="s">
        <v>17</v>
      </c>
      <c r="E317" s="1" t="s">
        <v>23</v>
      </c>
      <c r="F317" s="1">
        <v>6.71</v>
      </c>
      <c r="G317" s="1">
        <v>1.59</v>
      </c>
      <c r="H317" s="1">
        <v>5.12</v>
      </c>
      <c r="I317" s="1">
        <v>7.86</v>
      </c>
      <c r="J317" s="1">
        <v>1.0</v>
      </c>
      <c r="K317" s="1">
        <v>8.3</v>
      </c>
      <c r="L317" s="1">
        <v>55.3</v>
      </c>
      <c r="M317" s="1">
        <v>91.0</v>
      </c>
      <c r="N317" s="1">
        <v>16.2</v>
      </c>
      <c r="O317" s="1">
        <v>23.3</v>
      </c>
      <c r="P317" s="2">
        <f t="shared" si="1"/>
        <v>0</v>
      </c>
      <c r="Q317" s="1" t="str">
        <f t="shared" si="2"/>
        <v>Low Leisure Screen</v>
      </c>
      <c r="R317" s="2" t="str">
        <f t="shared" si="3"/>
        <v>Low Total Screen</v>
      </c>
      <c r="S317" s="2" t="str">
        <f t="shared" si="4"/>
        <v/>
      </c>
      <c r="T317" s="2" t="str">
        <f t="shared" si="5"/>
        <v/>
      </c>
      <c r="AA317" s="1">
        <v>1.59</v>
      </c>
      <c r="AB317" s="2">
        <f t="shared" si="6"/>
        <v>0.9516578757</v>
      </c>
    </row>
    <row r="318">
      <c r="A318" s="1" t="s">
        <v>401</v>
      </c>
      <c r="B318" s="1">
        <v>35.0</v>
      </c>
      <c r="C318" s="1" t="s">
        <v>16</v>
      </c>
      <c r="D318" s="1" t="s">
        <v>17</v>
      </c>
      <c r="E318" s="1" t="s">
        <v>27</v>
      </c>
      <c r="F318" s="1">
        <v>7.17</v>
      </c>
      <c r="G318" s="1">
        <v>1.87</v>
      </c>
      <c r="H318" s="1">
        <v>5.3</v>
      </c>
      <c r="I318" s="1">
        <v>7.36</v>
      </c>
      <c r="J318" s="1">
        <v>2.0</v>
      </c>
      <c r="K318" s="1">
        <v>5.0</v>
      </c>
      <c r="L318" s="1">
        <v>80.2</v>
      </c>
      <c r="M318" s="1">
        <v>160.0</v>
      </c>
      <c r="N318" s="1">
        <v>9.2</v>
      </c>
      <c r="O318" s="1">
        <v>51.1</v>
      </c>
      <c r="P318" s="2">
        <f t="shared" si="1"/>
        <v>0</v>
      </c>
      <c r="Q318" s="1" t="str">
        <f t="shared" si="2"/>
        <v>Low Leisure Screen</v>
      </c>
      <c r="R318" s="2" t="str">
        <f t="shared" si="3"/>
        <v>Low Total Screen</v>
      </c>
      <c r="S318" s="2" t="str">
        <f t="shared" si="4"/>
        <v/>
      </c>
      <c r="T318" s="2" t="str">
        <f t="shared" si="5"/>
        <v/>
      </c>
      <c r="AA318" s="1">
        <v>1.87</v>
      </c>
      <c r="AB318" s="2">
        <f t="shared" si="6"/>
        <v>1.05431203</v>
      </c>
    </row>
    <row r="319">
      <c r="A319" s="1" t="s">
        <v>402</v>
      </c>
      <c r="B319" s="1">
        <v>27.0</v>
      </c>
      <c r="C319" s="1" t="s">
        <v>30</v>
      </c>
      <c r="D319" s="1" t="s">
        <v>35</v>
      </c>
      <c r="E319" s="1" t="s">
        <v>27</v>
      </c>
      <c r="F319" s="1">
        <v>7.77</v>
      </c>
      <c r="G319" s="1">
        <v>0.39</v>
      </c>
      <c r="H319" s="1">
        <v>7.38</v>
      </c>
      <c r="I319" s="1">
        <v>8.13</v>
      </c>
      <c r="J319" s="1">
        <v>2.0</v>
      </c>
      <c r="K319" s="1">
        <v>6.3</v>
      </c>
      <c r="L319" s="1">
        <v>72.7</v>
      </c>
      <c r="M319" s="1">
        <v>208.0</v>
      </c>
      <c r="N319" s="1">
        <v>0.0</v>
      </c>
      <c r="O319" s="1">
        <v>41.2</v>
      </c>
      <c r="P319" s="2">
        <f t="shared" si="1"/>
        <v>0</v>
      </c>
      <c r="Q319" s="1" t="str">
        <f t="shared" si="2"/>
        <v>High Leisure Screen</v>
      </c>
      <c r="R319" s="2" t="str">
        <f t="shared" si="3"/>
        <v>Low Total Screen</v>
      </c>
      <c r="S319" s="2" t="str">
        <f t="shared" si="4"/>
        <v/>
      </c>
      <c r="T319" s="2" t="str">
        <f t="shared" si="5"/>
        <v/>
      </c>
      <c r="AA319" s="1">
        <v>0.39</v>
      </c>
      <c r="AB319" s="2">
        <f t="shared" si="6"/>
        <v>0.3293037471</v>
      </c>
    </row>
    <row r="320">
      <c r="A320" s="1" t="s">
        <v>403</v>
      </c>
      <c r="B320" s="1">
        <v>32.0</v>
      </c>
      <c r="C320" s="1" t="s">
        <v>16</v>
      </c>
      <c r="D320" s="1" t="s">
        <v>17</v>
      </c>
      <c r="E320" s="1" t="s">
        <v>18</v>
      </c>
      <c r="F320" s="1">
        <v>11.71</v>
      </c>
      <c r="G320" s="1">
        <v>3.83</v>
      </c>
      <c r="H320" s="1">
        <v>7.88</v>
      </c>
      <c r="I320" s="1">
        <v>6.98</v>
      </c>
      <c r="J320" s="1">
        <v>1.0</v>
      </c>
      <c r="K320" s="1">
        <v>10.0</v>
      </c>
      <c r="L320" s="1">
        <v>40.6</v>
      </c>
      <c r="M320" s="1">
        <v>4.0</v>
      </c>
      <c r="N320" s="1">
        <v>10.3</v>
      </c>
      <c r="O320" s="1">
        <v>0.0</v>
      </c>
      <c r="P320" s="2">
        <f t="shared" si="1"/>
        <v>0</v>
      </c>
      <c r="Q320" s="1" t="str">
        <f t="shared" si="2"/>
        <v>High Leisure Screen</v>
      </c>
      <c r="R320" s="2" t="str">
        <f t="shared" si="3"/>
        <v>High Total Screen</v>
      </c>
      <c r="S320" s="2" t="str">
        <f t="shared" si="4"/>
        <v>Lower Exercise</v>
      </c>
      <c r="T320" s="2" t="str">
        <f t="shared" si="5"/>
        <v>Higher Social</v>
      </c>
      <c r="AA320" s="1">
        <v>3.83</v>
      </c>
      <c r="AB320" s="2">
        <f t="shared" si="6"/>
        <v>1.574846468</v>
      </c>
    </row>
    <row r="321">
      <c r="A321" s="1" t="s">
        <v>404</v>
      </c>
      <c r="B321" s="1">
        <v>28.0</v>
      </c>
      <c r="C321" s="1" t="s">
        <v>16</v>
      </c>
      <c r="D321" s="1" t="s">
        <v>17</v>
      </c>
      <c r="E321" s="1" t="s">
        <v>23</v>
      </c>
      <c r="F321" s="1">
        <v>10.02</v>
      </c>
      <c r="G321" s="1">
        <v>0.5</v>
      </c>
      <c r="H321" s="1">
        <v>9.52</v>
      </c>
      <c r="I321" s="1">
        <v>6.28</v>
      </c>
      <c r="J321" s="1">
        <v>1.0</v>
      </c>
      <c r="K321" s="1">
        <v>10.0</v>
      </c>
      <c r="L321" s="1">
        <v>40.8</v>
      </c>
      <c r="M321" s="1">
        <v>57.0</v>
      </c>
      <c r="N321" s="1">
        <v>0.0</v>
      </c>
      <c r="O321" s="1">
        <v>2.1</v>
      </c>
      <c r="P321" s="2">
        <f t="shared" si="1"/>
        <v>0</v>
      </c>
      <c r="Q321" s="1" t="str">
        <f t="shared" si="2"/>
        <v>High Leisure Screen</v>
      </c>
      <c r="R321" s="2" t="str">
        <f t="shared" si="3"/>
        <v>High Total Screen</v>
      </c>
      <c r="S321" s="2" t="str">
        <f t="shared" si="4"/>
        <v>Lower Exercise</v>
      </c>
      <c r="T321" s="2" t="str">
        <f t="shared" si="5"/>
        <v>Lower Social</v>
      </c>
      <c r="AA321" s="1">
        <v>0.5</v>
      </c>
      <c r="AB321" s="2">
        <f t="shared" si="6"/>
        <v>0.4054651081</v>
      </c>
    </row>
    <row r="322">
      <c r="A322" s="1" t="s">
        <v>405</v>
      </c>
      <c r="B322" s="1">
        <v>30.0</v>
      </c>
      <c r="C322" s="1" t="s">
        <v>16</v>
      </c>
      <c r="D322" s="1" t="s">
        <v>32</v>
      </c>
      <c r="E322" s="1" t="s">
        <v>18</v>
      </c>
      <c r="F322" s="1">
        <v>13.4</v>
      </c>
      <c r="G322" s="1">
        <v>4.99</v>
      </c>
      <c r="H322" s="1">
        <v>8.41</v>
      </c>
      <c r="I322" s="1">
        <v>6.17</v>
      </c>
      <c r="J322" s="1">
        <v>1.0</v>
      </c>
      <c r="K322" s="1">
        <v>10.0</v>
      </c>
      <c r="L322" s="1">
        <v>43.6</v>
      </c>
      <c r="M322" s="1">
        <v>72.0</v>
      </c>
      <c r="N322" s="1">
        <v>14.1</v>
      </c>
      <c r="O322" s="1">
        <v>3.1</v>
      </c>
      <c r="P322" s="2">
        <f t="shared" si="1"/>
        <v>0</v>
      </c>
      <c r="Q322" s="1" t="str">
        <f t="shared" si="2"/>
        <v>High Leisure Screen</v>
      </c>
      <c r="R322" s="2" t="str">
        <f t="shared" si="3"/>
        <v>High Total Screen</v>
      </c>
      <c r="S322" s="2" t="str">
        <f t="shared" si="4"/>
        <v>Lower Exercise</v>
      </c>
      <c r="T322" s="2" t="str">
        <f t="shared" si="5"/>
        <v>Higher Social</v>
      </c>
      <c r="AA322" s="1">
        <v>4.99</v>
      </c>
      <c r="AB322" s="2">
        <f t="shared" si="6"/>
        <v>1.790091412</v>
      </c>
    </row>
    <row r="323">
      <c r="A323" s="1" t="s">
        <v>406</v>
      </c>
      <c r="B323" s="1">
        <v>34.0</v>
      </c>
      <c r="C323" s="1" t="s">
        <v>34</v>
      </c>
      <c r="D323" s="1" t="s">
        <v>32</v>
      </c>
      <c r="E323" s="1" t="s">
        <v>23</v>
      </c>
      <c r="F323" s="1">
        <v>9.01</v>
      </c>
      <c r="G323" s="1">
        <v>0.45</v>
      </c>
      <c r="H323" s="1">
        <v>8.56</v>
      </c>
      <c r="I323" s="1">
        <v>5.97</v>
      </c>
      <c r="J323" s="1">
        <v>1.0</v>
      </c>
      <c r="K323" s="1">
        <v>6.2</v>
      </c>
      <c r="L323" s="1">
        <v>63.7</v>
      </c>
      <c r="M323" s="1">
        <v>214.0</v>
      </c>
      <c r="N323" s="1">
        <v>10.6</v>
      </c>
      <c r="O323" s="1">
        <v>34.9</v>
      </c>
      <c r="P323" s="2">
        <f t="shared" si="1"/>
        <v>0</v>
      </c>
      <c r="Q323" s="1" t="str">
        <f t="shared" si="2"/>
        <v>High Leisure Screen</v>
      </c>
      <c r="R323" s="2" t="str">
        <f t="shared" si="3"/>
        <v>Low Total Screen</v>
      </c>
      <c r="S323" s="2" t="str">
        <f t="shared" si="4"/>
        <v/>
      </c>
      <c r="T323" s="2" t="str">
        <f t="shared" si="5"/>
        <v/>
      </c>
      <c r="AA323" s="1">
        <v>0.45</v>
      </c>
      <c r="AB323" s="2">
        <f t="shared" si="6"/>
        <v>0.3715635564</v>
      </c>
    </row>
    <row r="324">
      <c r="A324" s="1" t="s">
        <v>407</v>
      </c>
      <c r="B324" s="1">
        <v>23.0</v>
      </c>
      <c r="C324" s="1" t="s">
        <v>16</v>
      </c>
      <c r="D324" s="1" t="s">
        <v>43</v>
      </c>
      <c r="E324" s="1" t="s">
        <v>23</v>
      </c>
      <c r="F324" s="1">
        <v>3.64</v>
      </c>
      <c r="G324" s="1">
        <v>0.29</v>
      </c>
      <c r="H324" s="1">
        <v>3.35</v>
      </c>
      <c r="I324" s="1">
        <v>7.7</v>
      </c>
      <c r="J324" s="1">
        <v>3.0</v>
      </c>
      <c r="K324" s="1">
        <v>3.0</v>
      </c>
      <c r="L324" s="1">
        <v>88.8</v>
      </c>
      <c r="M324" s="1">
        <v>87.0</v>
      </c>
      <c r="N324" s="1">
        <v>0.0</v>
      </c>
      <c r="O324" s="1">
        <v>65.3</v>
      </c>
      <c r="P324" s="2">
        <f t="shared" si="1"/>
        <v>0</v>
      </c>
      <c r="Q324" s="1" t="str">
        <f t="shared" si="2"/>
        <v>Low Leisure Screen</v>
      </c>
      <c r="R324" s="2" t="str">
        <f t="shared" si="3"/>
        <v>Low Total Screen</v>
      </c>
      <c r="S324" s="2" t="str">
        <f t="shared" si="4"/>
        <v/>
      </c>
      <c r="T324" s="2" t="str">
        <f t="shared" si="5"/>
        <v/>
      </c>
      <c r="AA324" s="1">
        <v>0.29</v>
      </c>
      <c r="AB324" s="2">
        <f t="shared" si="6"/>
        <v>0.2546422184</v>
      </c>
    </row>
    <row r="325">
      <c r="A325" s="1" t="s">
        <v>408</v>
      </c>
      <c r="B325" s="1">
        <v>46.0</v>
      </c>
      <c r="C325" s="1" t="s">
        <v>30</v>
      </c>
      <c r="D325" s="1" t="s">
        <v>17</v>
      </c>
      <c r="E325" s="1" t="s">
        <v>23</v>
      </c>
      <c r="F325" s="1">
        <v>9.17</v>
      </c>
      <c r="G325" s="1">
        <v>0.46</v>
      </c>
      <c r="H325" s="1">
        <v>8.71</v>
      </c>
      <c r="I325" s="1">
        <v>8.07</v>
      </c>
      <c r="J325" s="1">
        <v>2.0</v>
      </c>
      <c r="K325" s="1">
        <v>7.7</v>
      </c>
      <c r="L325" s="1">
        <v>54.7</v>
      </c>
      <c r="M325" s="1">
        <v>69.0</v>
      </c>
      <c r="N325" s="1">
        <v>8.1</v>
      </c>
      <c r="O325" s="1">
        <v>16.2</v>
      </c>
      <c r="P325" s="2">
        <f t="shared" si="1"/>
        <v>0</v>
      </c>
      <c r="Q325" s="1" t="str">
        <f t="shared" si="2"/>
        <v>High Leisure Screen</v>
      </c>
      <c r="R325" s="2" t="str">
        <f t="shared" si="3"/>
        <v>High Total Screen</v>
      </c>
      <c r="S325" s="2" t="str">
        <f t="shared" si="4"/>
        <v>Lower Exercise</v>
      </c>
      <c r="T325" s="2" t="str">
        <f t="shared" si="5"/>
        <v>Higher Social</v>
      </c>
      <c r="AA325" s="1">
        <v>0.46</v>
      </c>
      <c r="AB325" s="2">
        <f t="shared" si="6"/>
        <v>0.3784364357</v>
      </c>
    </row>
    <row r="326">
      <c r="A326" s="1" t="s">
        <v>409</v>
      </c>
      <c r="B326" s="1">
        <v>21.0</v>
      </c>
      <c r="C326" s="1" t="s">
        <v>16</v>
      </c>
      <c r="D326" s="1" t="s">
        <v>17</v>
      </c>
      <c r="E326" s="1" t="s">
        <v>18</v>
      </c>
      <c r="F326" s="1">
        <v>11.2</v>
      </c>
      <c r="G326" s="1">
        <v>4.76</v>
      </c>
      <c r="H326" s="1">
        <v>6.44</v>
      </c>
      <c r="I326" s="1">
        <v>7.18</v>
      </c>
      <c r="J326" s="1">
        <v>2.0</v>
      </c>
      <c r="K326" s="1">
        <v>8.5</v>
      </c>
      <c r="L326" s="1">
        <v>40.8</v>
      </c>
      <c r="M326" s="1">
        <v>120.0</v>
      </c>
      <c r="N326" s="1">
        <v>7.7</v>
      </c>
      <c r="O326" s="1">
        <v>21.3</v>
      </c>
      <c r="P326" s="2">
        <f t="shared" si="1"/>
        <v>0</v>
      </c>
      <c r="Q326" s="1" t="str">
        <f t="shared" si="2"/>
        <v>Low Leisure Screen</v>
      </c>
      <c r="R326" s="2" t="str">
        <f t="shared" si="3"/>
        <v>High Total Screen</v>
      </c>
      <c r="S326" s="2" t="str">
        <f t="shared" si="4"/>
        <v>Higher Exercise</v>
      </c>
      <c r="T326" s="2" t="str">
        <f t="shared" si="5"/>
        <v>Lower Social</v>
      </c>
      <c r="AA326" s="1">
        <v>4.76</v>
      </c>
      <c r="AB326" s="2">
        <f t="shared" si="6"/>
        <v>1.750937475</v>
      </c>
    </row>
    <row r="327">
      <c r="A327" s="1" t="s">
        <v>410</v>
      </c>
      <c r="B327" s="1">
        <v>20.0</v>
      </c>
      <c r="C327" s="1" t="s">
        <v>30</v>
      </c>
      <c r="D327" s="1" t="s">
        <v>17</v>
      </c>
      <c r="E327" s="1" t="s">
        <v>27</v>
      </c>
      <c r="F327" s="1">
        <v>9.78</v>
      </c>
      <c r="G327" s="1">
        <v>1.49</v>
      </c>
      <c r="H327" s="1">
        <v>8.29</v>
      </c>
      <c r="I327" s="1">
        <v>7.95</v>
      </c>
      <c r="J327" s="1">
        <v>1.0</v>
      </c>
      <c r="K327" s="1">
        <v>8.7</v>
      </c>
      <c r="L327" s="1">
        <v>49.5</v>
      </c>
      <c r="M327" s="1">
        <v>54.0</v>
      </c>
      <c r="N327" s="1">
        <v>1.9</v>
      </c>
      <c r="O327" s="1">
        <v>19.3</v>
      </c>
      <c r="P327" s="2">
        <f t="shared" si="1"/>
        <v>0</v>
      </c>
      <c r="Q327" s="1" t="str">
        <f t="shared" si="2"/>
        <v>High Leisure Screen</v>
      </c>
      <c r="R327" s="2" t="str">
        <f t="shared" si="3"/>
        <v>High Total Screen</v>
      </c>
      <c r="S327" s="2" t="str">
        <f t="shared" si="4"/>
        <v>Lower Exercise</v>
      </c>
      <c r="T327" s="2" t="str">
        <f t="shared" si="5"/>
        <v>Lower Social</v>
      </c>
      <c r="AA327" s="1">
        <v>1.49</v>
      </c>
      <c r="AB327" s="2">
        <f t="shared" si="6"/>
        <v>0.9122827105</v>
      </c>
    </row>
    <row r="328">
      <c r="A328" s="1" t="s">
        <v>411</v>
      </c>
      <c r="B328" s="1">
        <v>39.0</v>
      </c>
      <c r="C328" s="1" t="s">
        <v>16</v>
      </c>
      <c r="D328" s="1" t="s">
        <v>32</v>
      </c>
      <c r="E328" s="1" t="s">
        <v>18</v>
      </c>
      <c r="F328" s="1">
        <v>8.12</v>
      </c>
      <c r="G328" s="1">
        <v>5.53</v>
      </c>
      <c r="H328" s="1">
        <v>2.59</v>
      </c>
      <c r="I328" s="1">
        <v>7.03</v>
      </c>
      <c r="J328" s="1">
        <v>1.0</v>
      </c>
      <c r="K328" s="1">
        <v>8.2</v>
      </c>
      <c r="L328" s="1">
        <v>52.5</v>
      </c>
      <c r="M328" s="1">
        <v>124.0</v>
      </c>
      <c r="N328" s="1">
        <v>5.7</v>
      </c>
      <c r="O328" s="1">
        <v>9.7</v>
      </c>
      <c r="P328" s="2">
        <f t="shared" si="1"/>
        <v>0</v>
      </c>
      <c r="Q328" s="1" t="str">
        <f t="shared" si="2"/>
        <v>Low Leisure Screen</v>
      </c>
      <c r="R328" s="2" t="str">
        <f t="shared" si="3"/>
        <v>Low Total Screen</v>
      </c>
      <c r="S328" s="2" t="str">
        <f t="shared" si="4"/>
        <v/>
      </c>
      <c r="T328" s="2" t="str">
        <f t="shared" si="5"/>
        <v/>
      </c>
      <c r="AA328" s="1">
        <v>5.53</v>
      </c>
      <c r="AB328" s="2">
        <f t="shared" si="6"/>
        <v>1.876406943</v>
      </c>
    </row>
    <row r="329">
      <c r="A329" s="1" t="s">
        <v>412</v>
      </c>
      <c r="B329" s="1">
        <v>36.0</v>
      </c>
      <c r="C329" s="1" t="s">
        <v>30</v>
      </c>
      <c r="D329" s="1" t="s">
        <v>32</v>
      </c>
      <c r="E329" s="1" t="s">
        <v>18</v>
      </c>
      <c r="F329" s="1">
        <v>9.61</v>
      </c>
      <c r="G329" s="1">
        <v>3.45</v>
      </c>
      <c r="H329" s="1">
        <v>6.16</v>
      </c>
      <c r="I329" s="1">
        <v>8.1</v>
      </c>
      <c r="J329" s="1">
        <v>2.0</v>
      </c>
      <c r="K329" s="1">
        <v>3.1</v>
      </c>
      <c r="L329" s="1">
        <v>84.0</v>
      </c>
      <c r="M329" s="1">
        <v>0.0</v>
      </c>
      <c r="N329" s="1">
        <v>2.0</v>
      </c>
      <c r="O329" s="1">
        <v>68.4</v>
      </c>
      <c r="P329" s="2">
        <f t="shared" si="1"/>
        <v>0</v>
      </c>
      <c r="Q329" s="1" t="str">
        <f t="shared" si="2"/>
        <v>Low Leisure Screen</v>
      </c>
      <c r="R329" s="2" t="str">
        <f t="shared" si="3"/>
        <v>High Total Screen</v>
      </c>
      <c r="S329" s="2" t="str">
        <f t="shared" si="4"/>
        <v>Lower Exercise</v>
      </c>
      <c r="T329" s="2" t="str">
        <f t="shared" si="5"/>
        <v>Lower Social</v>
      </c>
      <c r="AA329" s="1">
        <v>3.45</v>
      </c>
      <c r="AB329" s="2">
        <f t="shared" si="6"/>
        <v>1.492904096</v>
      </c>
    </row>
    <row r="330">
      <c r="A330" s="1" t="s">
        <v>413</v>
      </c>
      <c r="B330" s="1">
        <v>34.0</v>
      </c>
      <c r="C330" s="1" t="s">
        <v>16</v>
      </c>
      <c r="D330" s="1" t="s">
        <v>17</v>
      </c>
      <c r="E330" s="1" t="s">
        <v>18</v>
      </c>
      <c r="F330" s="1">
        <v>13.08</v>
      </c>
      <c r="G330" s="1">
        <v>2.05</v>
      </c>
      <c r="H330" s="1">
        <v>11.03</v>
      </c>
      <c r="I330" s="1">
        <v>6.32</v>
      </c>
      <c r="J330" s="1">
        <v>1.0</v>
      </c>
      <c r="K330" s="1">
        <v>10.0</v>
      </c>
      <c r="L330" s="1">
        <v>40.5</v>
      </c>
      <c r="M330" s="1">
        <v>237.0</v>
      </c>
      <c r="N330" s="1">
        <v>7.9</v>
      </c>
      <c r="O330" s="1">
        <v>6.6</v>
      </c>
      <c r="P330" s="2">
        <f t="shared" si="1"/>
        <v>0</v>
      </c>
      <c r="Q330" s="1" t="str">
        <f t="shared" si="2"/>
        <v>High Leisure Screen</v>
      </c>
      <c r="R330" s="2" t="str">
        <f t="shared" si="3"/>
        <v>High Total Screen</v>
      </c>
      <c r="S330" s="2" t="str">
        <f t="shared" si="4"/>
        <v>Higher Exercise</v>
      </c>
      <c r="T330" s="2" t="str">
        <f t="shared" si="5"/>
        <v>Higher Social</v>
      </c>
      <c r="AA330" s="1">
        <v>2.05</v>
      </c>
      <c r="AB330" s="2">
        <f t="shared" si="6"/>
        <v>1.115141591</v>
      </c>
    </row>
    <row r="331">
      <c r="A331" s="1" t="s">
        <v>414</v>
      </c>
      <c r="B331" s="1">
        <v>35.0</v>
      </c>
      <c r="C331" s="1" t="s">
        <v>16</v>
      </c>
      <c r="D331" s="1" t="s">
        <v>17</v>
      </c>
      <c r="E331" s="1" t="s">
        <v>23</v>
      </c>
      <c r="F331" s="1">
        <v>10.7</v>
      </c>
      <c r="G331" s="1">
        <v>2.18</v>
      </c>
      <c r="H331" s="1">
        <v>8.52</v>
      </c>
      <c r="I331" s="1">
        <v>8.02</v>
      </c>
      <c r="J331" s="1">
        <v>2.0</v>
      </c>
      <c r="K331" s="1">
        <v>8.0</v>
      </c>
      <c r="L331" s="1">
        <v>64.0</v>
      </c>
      <c r="M331" s="1">
        <v>2.0</v>
      </c>
      <c r="N331" s="1">
        <v>3.1</v>
      </c>
      <c r="O331" s="1">
        <v>26.4</v>
      </c>
      <c r="P331" s="2">
        <f t="shared" si="1"/>
        <v>0</v>
      </c>
      <c r="Q331" s="1" t="str">
        <f t="shared" si="2"/>
        <v>High Leisure Screen</v>
      </c>
      <c r="R331" s="2" t="str">
        <f t="shared" si="3"/>
        <v>High Total Screen</v>
      </c>
      <c r="S331" s="2" t="str">
        <f t="shared" si="4"/>
        <v>Lower Exercise</v>
      </c>
      <c r="T331" s="2" t="str">
        <f t="shared" si="5"/>
        <v>Lower Social</v>
      </c>
      <c r="AA331" s="1">
        <v>2.18</v>
      </c>
      <c r="AB331" s="2">
        <f t="shared" si="6"/>
        <v>1.156881197</v>
      </c>
    </row>
    <row r="332">
      <c r="A332" s="1" t="s">
        <v>415</v>
      </c>
      <c r="B332" s="1">
        <v>29.0</v>
      </c>
      <c r="C332" s="1" t="s">
        <v>16</v>
      </c>
      <c r="D332" s="1" t="s">
        <v>32</v>
      </c>
      <c r="E332" s="1" t="s">
        <v>18</v>
      </c>
      <c r="F332" s="1">
        <v>10.31</v>
      </c>
      <c r="G332" s="1">
        <v>6.31</v>
      </c>
      <c r="H332" s="1">
        <v>4.0</v>
      </c>
      <c r="I332" s="1">
        <v>6.83</v>
      </c>
      <c r="J332" s="1">
        <v>1.0</v>
      </c>
      <c r="K332" s="1">
        <v>10.0</v>
      </c>
      <c r="L332" s="1">
        <v>38.4</v>
      </c>
      <c r="M332" s="1">
        <v>73.0</v>
      </c>
      <c r="N332" s="1">
        <v>0.0</v>
      </c>
      <c r="O332" s="1">
        <v>0.0</v>
      </c>
      <c r="P332" s="2">
        <f t="shared" si="1"/>
        <v>0</v>
      </c>
      <c r="Q332" s="1" t="str">
        <f t="shared" si="2"/>
        <v>Low Leisure Screen</v>
      </c>
      <c r="R332" s="2" t="str">
        <f t="shared" si="3"/>
        <v>High Total Screen</v>
      </c>
      <c r="S332" s="2" t="str">
        <f t="shared" si="4"/>
        <v>Lower Exercise</v>
      </c>
      <c r="T332" s="2" t="str">
        <f t="shared" si="5"/>
        <v>Lower Social</v>
      </c>
      <c r="AA332" s="1">
        <v>6.31</v>
      </c>
      <c r="AB332" s="2">
        <f t="shared" si="6"/>
        <v>1.989243274</v>
      </c>
    </row>
    <row r="333">
      <c r="A333" s="1" t="s">
        <v>416</v>
      </c>
      <c r="B333" s="1">
        <v>22.0</v>
      </c>
      <c r="C333" s="1" t="s">
        <v>16</v>
      </c>
      <c r="D333" s="1" t="s">
        <v>17</v>
      </c>
      <c r="E333" s="1" t="s">
        <v>27</v>
      </c>
      <c r="F333" s="1">
        <v>10.6</v>
      </c>
      <c r="G333" s="1">
        <v>1.33</v>
      </c>
      <c r="H333" s="1">
        <v>9.27</v>
      </c>
      <c r="I333" s="1">
        <v>7.3</v>
      </c>
      <c r="J333" s="1">
        <v>2.0</v>
      </c>
      <c r="K333" s="1">
        <v>8.1</v>
      </c>
      <c r="L333" s="1">
        <v>62.5</v>
      </c>
      <c r="M333" s="1">
        <v>88.0</v>
      </c>
      <c r="N333" s="1">
        <v>5.3</v>
      </c>
      <c r="O333" s="1">
        <v>19.1</v>
      </c>
      <c r="P333" s="2">
        <f t="shared" si="1"/>
        <v>0</v>
      </c>
      <c r="Q333" s="1" t="str">
        <f t="shared" si="2"/>
        <v>High Leisure Screen</v>
      </c>
      <c r="R333" s="2" t="str">
        <f t="shared" si="3"/>
        <v>High Total Screen</v>
      </c>
      <c r="S333" s="2" t="str">
        <f t="shared" si="4"/>
        <v>Lower Exercise</v>
      </c>
      <c r="T333" s="2" t="str">
        <f t="shared" si="5"/>
        <v>Lower Social</v>
      </c>
      <c r="AA333" s="1">
        <v>1.33</v>
      </c>
      <c r="AB333" s="2">
        <f t="shared" si="6"/>
        <v>0.8458682676</v>
      </c>
    </row>
    <row r="334">
      <c r="A334" s="1" t="s">
        <v>417</v>
      </c>
      <c r="B334" s="1">
        <v>30.0</v>
      </c>
      <c r="C334" s="1" t="s">
        <v>30</v>
      </c>
      <c r="D334" s="1" t="s">
        <v>32</v>
      </c>
      <c r="E334" s="1" t="s">
        <v>18</v>
      </c>
      <c r="F334" s="1">
        <v>11.1</v>
      </c>
      <c r="G334" s="1">
        <v>3.99</v>
      </c>
      <c r="H334" s="1">
        <v>7.11</v>
      </c>
      <c r="I334" s="1">
        <v>7.92</v>
      </c>
      <c r="J334" s="1">
        <v>3.0</v>
      </c>
      <c r="K334" s="1">
        <v>8.2</v>
      </c>
      <c r="L334" s="1">
        <v>57.4</v>
      </c>
      <c r="M334" s="1">
        <v>225.0</v>
      </c>
      <c r="N334" s="1">
        <v>10.0</v>
      </c>
      <c r="O334" s="1">
        <v>42.3</v>
      </c>
      <c r="P334" s="2">
        <f t="shared" si="1"/>
        <v>0</v>
      </c>
      <c r="Q334" s="1" t="str">
        <f t="shared" si="2"/>
        <v>High Leisure Screen</v>
      </c>
      <c r="R334" s="2" t="str">
        <f t="shared" si="3"/>
        <v>High Total Screen</v>
      </c>
      <c r="S334" s="2" t="str">
        <f t="shared" si="4"/>
        <v>Higher Exercise</v>
      </c>
      <c r="T334" s="2" t="str">
        <f t="shared" si="5"/>
        <v>Higher Social</v>
      </c>
      <c r="AA334" s="1">
        <v>3.99</v>
      </c>
      <c r="AB334" s="2">
        <f t="shared" si="6"/>
        <v>1.60743591</v>
      </c>
    </row>
    <row r="335">
      <c r="A335" s="1" t="s">
        <v>418</v>
      </c>
      <c r="B335" s="1">
        <v>24.0</v>
      </c>
      <c r="C335" s="1" t="s">
        <v>16</v>
      </c>
      <c r="D335" s="1" t="s">
        <v>17</v>
      </c>
      <c r="E335" s="1" t="s">
        <v>27</v>
      </c>
      <c r="F335" s="1">
        <v>10.12</v>
      </c>
      <c r="G335" s="1">
        <v>2.4</v>
      </c>
      <c r="H335" s="1">
        <v>7.72</v>
      </c>
      <c r="I335" s="1">
        <v>6.67</v>
      </c>
      <c r="J335" s="1">
        <v>1.0</v>
      </c>
      <c r="K335" s="1">
        <v>10.0</v>
      </c>
      <c r="L335" s="1">
        <v>47.5</v>
      </c>
      <c r="M335" s="1">
        <v>2.0</v>
      </c>
      <c r="N335" s="1">
        <v>6.6</v>
      </c>
      <c r="O335" s="1">
        <v>0.0</v>
      </c>
      <c r="P335" s="2">
        <f t="shared" si="1"/>
        <v>0</v>
      </c>
      <c r="Q335" s="1" t="str">
        <f t="shared" si="2"/>
        <v>High Leisure Screen</v>
      </c>
      <c r="R335" s="2" t="str">
        <f t="shared" si="3"/>
        <v>High Total Screen</v>
      </c>
      <c r="S335" s="2" t="str">
        <f t="shared" si="4"/>
        <v>Lower Exercise</v>
      </c>
      <c r="T335" s="2" t="str">
        <f t="shared" si="5"/>
        <v>Lower Social</v>
      </c>
      <c r="AA335" s="1">
        <v>2.4</v>
      </c>
      <c r="AB335" s="2">
        <f t="shared" si="6"/>
        <v>1.223775432</v>
      </c>
    </row>
    <row r="336">
      <c r="A336" s="1" t="s">
        <v>419</v>
      </c>
      <c r="B336" s="1">
        <v>37.0</v>
      </c>
      <c r="C336" s="1" t="s">
        <v>30</v>
      </c>
      <c r="D336" s="1" t="s">
        <v>17</v>
      </c>
      <c r="E336" s="1" t="s">
        <v>27</v>
      </c>
      <c r="F336" s="1">
        <v>6.85</v>
      </c>
      <c r="G336" s="1">
        <v>0.41</v>
      </c>
      <c r="H336" s="1">
        <v>6.44</v>
      </c>
      <c r="I336" s="1">
        <v>7.62</v>
      </c>
      <c r="J336" s="1">
        <v>2.0</v>
      </c>
      <c r="K336" s="1">
        <v>7.8</v>
      </c>
      <c r="L336" s="1">
        <v>53.8</v>
      </c>
      <c r="M336" s="1">
        <v>259.0</v>
      </c>
      <c r="N336" s="1">
        <v>17.5</v>
      </c>
      <c r="O336" s="1">
        <v>25.1</v>
      </c>
      <c r="P336" s="2">
        <f t="shared" si="1"/>
        <v>0</v>
      </c>
      <c r="Q336" s="1" t="str">
        <f t="shared" si="2"/>
        <v>Low Leisure Screen</v>
      </c>
      <c r="R336" s="2" t="str">
        <f t="shared" si="3"/>
        <v>Low Total Screen</v>
      </c>
      <c r="S336" s="2" t="str">
        <f t="shared" si="4"/>
        <v/>
      </c>
      <c r="T336" s="2" t="str">
        <f t="shared" si="5"/>
        <v/>
      </c>
      <c r="AA336" s="1">
        <v>0.41</v>
      </c>
      <c r="AB336" s="2">
        <f t="shared" si="6"/>
        <v>0.3435897044</v>
      </c>
    </row>
    <row r="337">
      <c r="A337" s="1" t="s">
        <v>420</v>
      </c>
      <c r="B337" s="1">
        <v>28.0</v>
      </c>
      <c r="C337" s="1" t="s">
        <v>16</v>
      </c>
      <c r="D337" s="1" t="s">
        <v>17</v>
      </c>
      <c r="E337" s="1" t="s">
        <v>27</v>
      </c>
      <c r="F337" s="1">
        <v>9.72</v>
      </c>
      <c r="G337" s="1">
        <v>0.67</v>
      </c>
      <c r="H337" s="1">
        <v>9.05</v>
      </c>
      <c r="I337" s="1">
        <v>7.95</v>
      </c>
      <c r="J337" s="1">
        <v>1.0</v>
      </c>
      <c r="K337" s="1">
        <v>10.0</v>
      </c>
      <c r="L337" s="1">
        <v>44.8</v>
      </c>
      <c r="M337" s="1">
        <v>152.0</v>
      </c>
      <c r="N337" s="1">
        <v>4.4</v>
      </c>
      <c r="O337" s="1">
        <v>10.4</v>
      </c>
      <c r="P337" s="2">
        <f t="shared" si="1"/>
        <v>0</v>
      </c>
      <c r="Q337" s="1" t="str">
        <f t="shared" si="2"/>
        <v>High Leisure Screen</v>
      </c>
      <c r="R337" s="2" t="str">
        <f t="shared" si="3"/>
        <v>High Total Screen</v>
      </c>
      <c r="S337" s="2" t="str">
        <f t="shared" si="4"/>
        <v>Higher Exercise</v>
      </c>
      <c r="T337" s="2" t="str">
        <f t="shared" si="5"/>
        <v>Lower Social</v>
      </c>
      <c r="AA337" s="1">
        <v>0.67</v>
      </c>
      <c r="AB337" s="2">
        <f t="shared" si="6"/>
        <v>0.5128236264</v>
      </c>
    </row>
    <row r="338">
      <c r="A338" s="1" t="s">
        <v>421</v>
      </c>
      <c r="B338" s="1">
        <v>23.0</v>
      </c>
      <c r="C338" s="1" t="s">
        <v>30</v>
      </c>
      <c r="D338" s="1" t="s">
        <v>17</v>
      </c>
      <c r="E338" s="1" t="s">
        <v>23</v>
      </c>
      <c r="F338" s="1">
        <v>10.6</v>
      </c>
      <c r="G338" s="1">
        <v>2.29</v>
      </c>
      <c r="H338" s="1">
        <v>8.31</v>
      </c>
      <c r="I338" s="1">
        <v>6.63</v>
      </c>
      <c r="J338" s="1">
        <v>1.0</v>
      </c>
      <c r="K338" s="1">
        <v>9.7</v>
      </c>
      <c r="L338" s="1">
        <v>31.4</v>
      </c>
      <c r="M338" s="1">
        <v>120.0</v>
      </c>
      <c r="N338" s="1">
        <v>9.5</v>
      </c>
      <c r="O338" s="1">
        <v>0.0</v>
      </c>
      <c r="P338" s="2">
        <f t="shared" si="1"/>
        <v>0</v>
      </c>
      <c r="Q338" s="1" t="str">
        <f t="shared" si="2"/>
        <v>High Leisure Screen</v>
      </c>
      <c r="R338" s="2" t="str">
        <f t="shared" si="3"/>
        <v>High Total Screen</v>
      </c>
      <c r="S338" s="2" t="str">
        <f t="shared" si="4"/>
        <v>Higher Exercise</v>
      </c>
      <c r="T338" s="2" t="str">
        <f t="shared" si="5"/>
        <v>Higher Social</v>
      </c>
      <c r="AA338" s="1">
        <v>2.29</v>
      </c>
      <c r="AB338" s="2">
        <f t="shared" si="6"/>
        <v>1.190887565</v>
      </c>
    </row>
    <row r="339">
      <c r="A339" s="1" t="s">
        <v>422</v>
      </c>
      <c r="B339" s="1">
        <v>27.0</v>
      </c>
      <c r="C339" s="1" t="s">
        <v>16</v>
      </c>
      <c r="D339" s="1" t="s">
        <v>17</v>
      </c>
      <c r="E339" s="1" t="s">
        <v>27</v>
      </c>
      <c r="F339" s="1">
        <v>11.54</v>
      </c>
      <c r="G339" s="1">
        <v>0.95</v>
      </c>
      <c r="H339" s="1">
        <v>10.59</v>
      </c>
      <c r="I339" s="1">
        <v>5.58</v>
      </c>
      <c r="J339" s="1">
        <v>1.0</v>
      </c>
      <c r="K339" s="1">
        <v>10.0</v>
      </c>
      <c r="L339" s="1">
        <v>39.1</v>
      </c>
      <c r="M339" s="1">
        <v>18.0</v>
      </c>
      <c r="N339" s="1">
        <v>6.7</v>
      </c>
      <c r="O339" s="1">
        <v>0.0</v>
      </c>
      <c r="P339" s="2">
        <f t="shared" si="1"/>
        <v>0</v>
      </c>
      <c r="Q339" s="1" t="str">
        <f t="shared" si="2"/>
        <v>High Leisure Screen</v>
      </c>
      <c r="R339" s="2" t="str">
        <f t="shared" si="3"/>
        <v>High Total Screen</v>
      </c>
      <c r="S339" s="2" t="str">
        <f t="shared" si="4"/>
        <v>Lower Exercise</v>
      </c>
      <c r="T339" s="2" t="str">
        <f t="shared" si="5"/>
        <v>Lower Social</v>
      </c>
      <c r="AA339" s="1">
        <v>0.95</v>
      </c>
      <c r="AB339" s="2">
        <f t="shared" si="6"/>
        <v>0.6678293726</v>
      </c>
    </row>
    <row r="340">
      <c r="A340" s="1" t="s">
        <v>423</v>
      </c>
      <c r="B340" s="1">
        <v>33.0</v>
      </c>
      <c r="C340" s="1" t="s">
        <v>16</v>
      </c>
      <c r="D340" s="1" t="s">
        <v>32</v>
      </c>
      <c r="E340" s="1" t="s">
        <v>23</v>
      </c>
      <c r="F340" s="1">
        <v>11.28</v>
      </c>
      <c r="G340" s="1">
        <v>2.5</v>
      </c>
      <c r="H340" s="1">
        <v>8.78</v>
      </c>
      <c r="I340" s="1">
        <v>8.45</v>
      </c>
      <c r="J340" s="1">
        <v>3.0</v>
      </c>
      <c r="K340" s="1">
        <v>8.3</v>
      </c>
      <c r="L340" s="1">
        <v>62.5</v>
      </c>
      <c r="M340" s="1">
        <v>132.0</v>
      </c>
      <c r="N340" s="1">
        <v>6.4</v>
      </c>
      <c r="O340" s="1">
        <v>35.4</v>
      </c>
      <c r="P340" s="2">
        <f t="shared" si="1"/>
        <v>0</v>
      </c>
      <c r="Q340" s="1" t="str">
        <f t="shared" si="2"/>
        <v>High Leisure Screen</v>
      </c>
      <c r="R340" s="2" t="str">
        <f t="shared" si="3"/>
        <v>High Total Screen</v>
      </c>
      <c r="S340" s="2" t="str">
        <f t="shared" si="4"/>
        <v>Higher Exercise</v>
      </c>
      <c r="T340" s="2" t="str">
        <f t="shared" si="5"/>
        <v>Lower Social</v>
      </c>
      <c r="AA340" s="1">
        <v>2.5</v>
      </c>
      <c r="AB340" s="2">
        <f t="shared" si="6"/>
        <v>1.252762968</v>
      </c>
    </row>
    <row r="341">
      <c r="A341" s="1" t="s">
        <v>424</v>
      </c>
      <c r="B341" s="1">
        <v>25.0</v>
      </c>
      <c r="C341" s="1" t="s">
        <v>30</v>
      </c>
      <c r="D341" s="1" t="s">
        <v>32</v>
      </c>
      <c r="E341" s="1" t="s">
        <v>23</v>
      </c>
      <c r="F341" s="1">
        <v>8.89</v>
      </c>
      <c r="G341" s="1">
        <v>0.94</v>
      </c>
      <c r="H341" s="1">
        <v>7.95</v>
      </c>
      <c r="I341" s="1">
        <v>6.64</v>
      </c>
      <c r="J341" s="1">
        <v>1.0</v>
      </c>
      <c r="K341" s="1">
        <v>8.8</v>
      </c>
      <c r="L341" s="1">
        <v>46.3</v>
      </c>
      <c r="M341" s="1">
        <v>52.0</v>
      </c>
      <c r="N341" s="1">
        <v>8.1</v>
      </c>
      <c r="O341" s="1">
        <v>10.3</v>
      </c>
      <c r="P341" s="2">
        <f t="shared" si="1"/>
        <v>0</v>
      </c>
      <c r="Q341" s="1" t="str">
        <f t="shared" si="2"/>
        <v>High Leisure Screen</v>
      </c>
      <c r="R341" s="2" t="str">
        <f t="shared" si="3"/>
        <v>Low Total Screen</v>
      </c>
      <c r="S341" s="2" t="str">
        <f t="shared" si="4"/>
        <v/>
      </c>
      <c r="T341" s="2" t="str">
        <f t="shared" si="5"/>
        <v/>
      </c>
      <c r="AA341" s="1">
        <v>0.94</v>
      </c>
      <c r="AB341" s="2">
        <f t="shared" si="6"/>
        <v>0.6626879731</v>
      </c>
    </row>
    <row r="342">
      <c r="A342" s="1" t="s">
        <v>425</v>
      </c>
      <c r="B342" s="1">
        <v>23.0</v>
      </c>
      <c r="C342" s="1" t="s">
        <v>16</v>
      </c>
      <c r="D342" s="1" t="s">
        <v>17</v>
      </c>
      <c r="E342" s="1" t="s">
        <v>18</v>
      </c>
      <c r="F342" s="1">
        <v>9.14</v>
      </c>
      <c r="G342" s="1">
        <v>2.87</v>
      </c>
      <c r="H342" s="1">
        <v>6.27</v>
      </c>
      <c r="I342" s="1">
        <v>7.09</v>
      </c>
      <c r="J342" s="1">
        <v>1.0</v>
      </c>
      <c r="K342" s="1">
        <v>9.9</v>
      </c>
      <c r="L342" s="1">
        <v>38.4</v>
      </c>
      <c r="M342" s="1">
        <v>188.0</v>
      </c>
      <c r="N342" s="1">
        <v>4.7</v>
      </c>
      <c r="O342" s="1">
        <v>6.2</v>
      </c>
      <c r="P342" s="2">
        <f t="shared" si="1"/>
        <v>0</v>
      </c>
      <c r="Q342" s="1" t="str">
        <f t="shared" si="2"/>
        <v>Low Leisure Screen</v>
      </c>
      <c r="R342" s="2" t="str">
        <f t="shared" si="3"/>
        <v>High Total Screen</v>
      </c>
      <c r="S342" s="2" t="str">
        <f t="shared" si="4"/>
        <v>Higher Exercise</v>
      </c>
      <c r="T342" s="2" t="str">
        <f t="shared" si="5"/>
        <v>Lower Social</v>
      </c>
      <c r="AA342" s="1">
        <v>2.87</v>
      </c>
      <c r="AB342" s="2">
        <f t="shared" si="6"/>
        <v>1.353254507</v>
      </c>
    </row>
    <row r="343">
      <c r="A343" s="1" t="s">
        <v>426</v>
      </c>
      <c r="B343" s="1">
        <v>31.0</v>
      </c>
      <c r="C343" s="1" t="s">
        <v>16</v>
      </c>
      <c r="D343" s="1" t="s">
        <v>17</v>
      </c>
      <c r="E343" s="1" t="s">
        <v>23</v>
      </c>
      <c r="F343" s="1">
        <v>9.43</v>
      </c>
      <c r="G343" s="1">
        <v>0.47</v>
      </c>
      <c r="H343" s="1">
        <v>8.96</v>
      </c>
      <c r="I343" s="1">
        <v>7.92</v>
      </c>
      <c r="J343" s="1">
        <v>1.0</v>
      </c>
      <c r="K343" s="1">
        <v>8.6</v>
      </c>
      <c r="L343" s="1">
        <v>54.5</v>
      </c>
      <c r="M343" s="1">
        <v>34.0</v>
      </c>
      <c r="N343" s="1">
        <v>10.8</v>
      </c>
      <c r="O343" s="1">
        <v>10.6</v>
      </c>
      <c r="P343" s="2">
        <f t="shared" si="1"/>
        <v>0</v>
      </c>
      <c r="Q343" s="1" t="str">
        <f t="shared" si="2"/>
        <v>High Leisure Screen</v>
      </c>
      <c r="R343" s="2" t="str">
        <f t="shared" si="3"/>
        <v>High Total Screen</v>
      </c>
      <c r="S343" s="2" t="str">
        <f t="shared" si="4"/>
        <v>Lower Exercise</v>
      </c>
      <c r="T343" s="2" t="str">
        <f t="shared" si="5"/>
        <v>Higher Social</v>
      </c>
      <c r="AA343" s="1">
        <v>0.47</v>
      </c>
      <c r="AB343" s="2">
        <f t="shared" si="6"/>
        <v>0.3852624008</v>
      </c>
    </row>
    <row r="344">
      <c r="A344" s="1" t="s">
        <v>427</v>
      </c>
      <c r="B344" s="1">
        <v>31.0</v>
      </c>
      <c r="C344" s="1" t="s">
        <v>30</v>
      </c>
      <c r="D344" s="1" t="s">
        <v>17</v>
      </c>
      <c r="E344" s="1" t="s">
        <v>18</v>
      </c>
      <c r="F344" s="1">
        <v>4.96</v>
      </c>
      <c r="G344" s="1">
        <v>2.68</v>
      </c>
      <c r="H344" s="1">
        <v>2.28</v>
      </c>
      <c r="I344" s="1">
        <v>7.18</v>
      </c>
      <c r="J344" s="1">
        <v>1.0</v>
      </c>
      <c r="K344" s="1">
        <v>8.2</v>
      </c>
      <c r="L344" s="1">
        <v>57.1</v>
      </c>
      <c r="M344" s="1">
        <v>121.0</v>
      </c>
      <c r="N344" s="1">
        <v>1.4</v>
      </c>
      <c r="O344" s="1">
        <v>32.8</v>
      </c>
      <c r="P344" s="2">
        <f t="shared" si="1"/>
        <v>0</v>
      </c>
      <c r="Q344" s="1" t="str">
        <f t="shared" si="2"/>
        <v>Low Leisure Screen</v>
      </c>
      <c r="R344" s="2" t="str">
        <f t="shared" si="3"/>
        <v>Low Total Screen</v>
      </c>
      <c r="S344" s="2" t="str">
        <f t="shared" si="4"/>
        <v/>
      </c>
      <c r="T344" s="2" t="str">
        <f t="shared" si="5"/>
        <v/>
      </c>
      <c r="AA344" s="1">
        <v>2.68</v>
      </c>
      <c r="AB344" s="2">
        <f t="shared" si="6"/>
        <v>1.302912752</v>
      </c>
    </row>
    <row r="345">
      <c r="A345" s="1" t="s">
        <v>428</v>
      </c>
      <c r="B345" s="1">
        <v>25.0</v>
      </c>
      <c r="C345" s="1" t="s">
        <v>30</v>
      </c>
      <c r="D345" s="1" t="s">
        <v>17</v>
      </c>
      <c r="E345" s="1" t="s">
        <v>23</v>
      </c>
      <c r="F345" s="1">
        <v>4.48</v>
      </c>
      <c r="G345" s="1">
        <v>1.11</v>
      </c>
      <c r="H345" s="1">
        <v>3.37</v>
      </c>
      <c r="I345" s="1">
        <v>6.87</v>
      </c>
      <c r="J345" s="1">
        <v>1.0</v>
      </c>
      <c r="K345" s="1">
        <v>5.3</v>
      </c>
      <c r="L345" s="1">
        <v>67.1</v>
      </c>
      <c r="M345" s="1">
        <v>90.0</v>
      </c>
      <c r="N345" s="1">
        <v>4.8</v>
      </c>
      <c r="O345" s="1">
        <v>34.0</v>
      </c>
      <c r="P345" s="2">
        <f t="shared" si="1"/>
        <v>0</v>
      </c>
      <c r="Q345" s="1" t="str">
        <f t="shared" si="2"/>
        <v>Low Leisure Screen</v>
      </c>
      <c r="R345" s="2" t="str">
        <f t="shared" si="3"/>
        <v>Low Total Screen</v>
      </c>
      <c r="S345" s="2" t="str">
        <f t="shared" si="4"/>
        <v/>
      </c>
      <c r="T345" s="2" t="str">
        <f t="shared" si="5"/>
        <v/>
      </c>
      <c r="AA345" s="1">
        <v>1.11</v>
      </c>
      <c r="AB345" s="2">
        <f t="shared" si="6"/>
        <v>0.7466879475</v>
      </c>
    </row>
    <row r="346">
      <c r="A346" s="1" t="s">
        <v>429</v>
      </c>
      <c r="B346" s="1">
        <v>26.0</v>
      </c>
      <c r="C346" s="1" t="s">
        <v>16</v>
      </c>
      <c r="D346" s="1" t="s">
        <v>17</v>
      </c>
      <c r="E346" s="1" t="s">
        <v>27</v>
      </c>
      <c r="F346" s="1">
        <v>6.34</v>
      </c>
      <c r="G346" s="1">
        <v>0.78</v>
      </c>
      <c r="H346" s="1">
        <v>5.56</v>
      </c>
      <c r="I346" s="1">
        <v>7.61</v>
      </c>
      <c r="J346" s="1">
        <v>2.0</v>
      </c>
      <c r="K346" s="1">
        <v>6.8</v>
      </c>
      <c r="L346" s="1">
        <v>67.5</v>
      </c>
      <c r="M346" s="1">
        <v>49.0</v>
      </c>
      <c r="N346" s="1">
        <v>7.0</v>
      </c>
      <c r="O346" s="1">
        <v>33.6</v>
      </c>
      <c r="P346" s="2">
        <f t="shared" si="1"/>
        <v>0</v>
      </c>
      <c r="Q346" s="1" t="str">
        <f t="shared" si="2"/>
        <v>Low Leisure Screen</v>
      </c>
      <c r="R346" s="2" t="str">
        <f t="shared" si="3"/>
        <v>Low Total Screen</v>
      </c>
      <c r="S346" s="2" t="str">
        <f t="shared" si="4"/>
        <v/>
      </c>
      <c r="T346" s="2" t="str">
        <f t="shared" si="5"/>
        <v/>
      </c>
      <c r="AA346" s="1">
        <v>0.78</v>
      </c>
      <c r="AB346" s="2">
        <f t="shared" si="6"/>
        <v>0.5766133643</v>
      </c>
    </row>
    <row r="347">
      <c r="A347" s="1" t="s">
        <v>430</v>
      </c>
      <c r="B347" s="1">
        <v>31.0</v>
      </c>
      <c r="C347" s="1" t="s">
        <v>16</v>
      </c>
      <c r="D347" s="1" t="s">
        <v>35</v>
      </c>
      <c r="E347" s="1" t="s">
        <v>23</v>
      </c>
      <c r="F347" s="1">
        <v>10.42</v>
      </c>
      <c r="G347" s="1">
        <v>2.58</v>
      </c>
      <c r="H347" s="1">
        <v>7.84</v>
      </c>
      <c r="I347" s="1">
        <v>5.41</v>
      </c>
      <c r="J347" s="1">
        <v>1.0</v>
      </c>
      <c r="K347" s="1">
        <v>10.0</v>
      </c>
      <c r="L347" s="1">
        <v>58.2</v>
      </c>
      <c r="M347" s="1">
        <v>148.0</v>
      </c>
      <c r="N347" s="1">
        <v>15.3</v>
      </c>
      <c r="O347" s="1">
        <v>4.9</v>
      </c>
      <c r="P347" s="2">
        <f t="shared" si="1"/>
        <v>0</v>
      </c>
      <c r="Q347" s="1" t="str">
        <f t="shared" si="2"/>
        <v>High Leisure Screen</v>
      </c>
      <c r="R347" s="2" t="str">
        <f t="shared" si="3"/>
        <v>High Total Screen</v>
      </c>
      <c r="S347" s="2" t="str">
        <f t="shared" si="4"/>
        <v>Higher Exercise</v>
      </c>
      <c r="T347" s="2" t="str">
        <f t="shared" si="5"/>
        <v>Higher Social</v>
      </c>
      <c r="AA347" s="1">
        <v>2.58</v>
      </c>
      <c r="AB347" s="2">
        <f t="shared" si="6"/>
        <v>1.2753628</v>
      </c>
    </row>
    <row r="348">
      <c r="A348" s="1" t="s">
        <v>431</v>
      </c>
      <c r="B348" s="1">
        <v>18.0</v>
      </c>
      <c r="C348" s="1" t="s">
        <v>30</v>
      </c>
      <c r="D348" s="1" t="s">
        <v>17</v>
      </c>
      <c r="E348" s="1" t="s">
        <v>23</v>
      </c>
      <c r="F348" s="1">
        <v>6.85</v>
      </c>
      <c r="G348" s="1">
        <v>0.44</v>
      </c>
      <c r="H348" s="1">
        <v>6.41</v>
      </c>
      <c r="I348" s="1">
        <v>7.02</v>
      </c>
      <c r="J348" s="1">
        <v>1.0</v>
      </c>
      <c r="K348" s="1">
        <v>9.0</v>
      </c>
      <c r="L348" s="1">
        <v>58.6</v>
      </c>
      <c r="M348" s="1">
        <v>148.0</v>
      </c>
      <c r="N348" s="1">
        <v>9.6</v>
      </c>
      <c r="O348" s="1">
        <v>15.6</v>
      </c>
      <c r="P348" s="2">
        <f t="shared" si="1"/>
        <v>0</v>
      </c>
      <c r="Q348" s="1" t="str">
        <f t="shared" si="2"/>
        <v>Low Leisure Screen</v>
      </c>
      <c r="R348" s="2" t="str">
        <f t="shared" si="3"/>
        <v>Low Total Screen</v>
      </c>
      <c r="S348" s="2" t="str">
        <f t="shared" si="4"/>
        <v/>
      </c>
      <c r="T348" s="2" t="str">
        <f t="shared" si="5"/>
        <v/>
      </c>
      <c r="AA348" s="1">
        <v>0.44</v>
      </c>
      <c r="AB348" s="2">
        <f t="shared" si="6"/>
        <v>0.3646431136</v>
      </c>
    </row>
    <row r="349">
      <c r="A349" s="1" t="s">
        <v>432</v>
      </c>
      <c r="B349" s="1">
        <v>18.0</v>
      </c>
      <c r="C349" s="1" t="s">
        <v>16</v>
      </c>
      <c r="D349" s="1" t="s">
        <v>32</v>
      </c>
      <c r="E349" s="1" t="s">
        <v>23</v>
      </c>
      <c r="F349" s="1">
        <v>9.39</v>
      </c>
      <c r="G349" s="1">
        <v>1.37</v>
      </c>
      <c r="H349" s="1">
        <v>8.02</v>
      </c>
      <c r="I349" s="1">
        <v>7.07</v>
      </c>
      <c r="J349" s="1">
        <v>1.0</v>
      </c>
      <c r="K349" s="1">
        <v>7.4</v>
      </c>
      <c r="L349" s="1">
        <v>61.3</v>
      </c>
      <c r="M349" s="1">
        <v>180.0</v>
      </c>
      <c r="N349" s="1">
        <v>7.5</v>
      </c>
      <c r="O349" s="1">
        <v>28.5</v>
      </c>
      <c r="P349" s="2">
        <f t="shared" si="1"/>
        <v>0</v>
      </c>
      <c r="Q349" s="1" t="str">
        <f t="shared" si="2"/>
        <v>High Leisure Screen</v>
      </c>
      <c r="R349" s="2" t="str">
        <f t="shared" si="3"/>
        <v>High Total Screen</v>
      </c>
      <c r="S349" s="2" t="str">
        <f t="shared" si="4"/>
        <v>Higher Exercise</v>
      </c>
      <c r="T349" s="2" t="str">
        <f t="shared" si="5"/>
        <v>Lower Social</v>
      </c>
      <c r="AA349" s="1">
        <v>1.37</v>
      </c>
      <c r="AB349" s="2">
        <f t="shared" si="6"/>
        <v>0.8628899551</v>
      </c>
    </row>
    <row r="350">
      <c r="A350" s="1" t="s">
        <v>433</v>
      </c>
      <c r="B350" s="1">
        <v>24.0</v>
      </c>
      <c r="C350" s="1" t="s">
        <v>16</v>
      </c>
      <c r="D350" s="1" t="s">
        <v>17</v>
      </c>
      <c r="E350" s="1" t="s">
        <v>23</v>
      </c>
      <c r="F350" s="1">
        <v>6.67</v>
      </c>
      <c r="G350" s="1">
        <v>0.53</v>
      </c>
      <c r="H350" s="1">
        <v>6.14</v>
      </c>
      <c r="I350" s="1">
        <v>7.12</v>
      </c>
      <c r="J350" s="1">
        <v>1.0</v>
      </c>
      <c r="K350" s="1">
        <v>8.0</v>
      </c>
      <c r="L350" s="1">
        <v>58.6</v>
      </c>
      <c r="M350" s="1">
        <v>0.0</v>
      </c>
      <c r="N350" s="1">
        <v>3.5</v>
      </c>
      <c r="O350" s="1">
        <v>23.4</v>
      </c>
      <c r="P350" s="2">
        <f t="shared" si="1"/>
        <v>0</v>
      </c>
      <c r="Q350" s="1" t="str">
        <f t="shared" si="2"/>
        <v>Low Leisure Screen</v>
      </c>
      <c r="R350" s="2" t="str">
        <f t="shared" si="3"/>
        <v>Low Total Screen</v>
      </c>
      <c r="S350" s="2" t="str">
        <f t="shared" si="4"/>
        <v/>
      </c>
      <c r="T350" s="2" t="str">
        <f t="shared" si="5"/>
        <v/>
      </c>
      <c r="AA350" s="1">
        <v>0.53</v>
      </c>
      <c r="AB350" s="2">
        <f t="shared" si="6"/>
        <v>0.4252677354</v>
      </c>
    </row>
    <row r="351">
      <c r="A351" s="1" t="s">
        <v>434</v>
      </c>
      <c r="B351" s="1">
        <v>28.0</v>
      </c>
      <c r="C351" s="1" t="s">
        <v>16</v>
      </c>
      <c r="D351" s="1" t="s">
        <v>32</v>
      </c>
      <c r="E351" s="1" t="s">
        <v>18</v>
      </c>
      <c r="F351" s="1">
        <v>10.19</v>
      </c>
      <c r="G351" s="1">
        <v>5.48</v>
      </c>
      <c r="H351" s="1">
        <v>4.71</v>
      </c>
      <c r="I351" s="1">
        <v>5.62</v>
      </c>
      <c r="J351" s="1">
        <v>1.0</v>
      </c>
      <c r="K351" s="1">
        <v>10.0</v>
      </c>
      <c r="L351" s="1">
        <v>43.7</v>
      </c>
      <c r="M351" s="1">
        <v>170.0</v>
      </c>
      <c r="N351" s="1">
        <v>8.1</v>
      </c>
      <c r="O351" s="1">
        <v>0.0</v>
      </c>
      <c r="P351" s="2">
        <f t="shared" si="1"/>
        <v>0</v>
      </c>
      <c r="Q351" s="1" t="str">
        <f t="shared" si="2"/>
        <v>Low Leisure Screen</v>
      </c>
      <c r="R351" s="2" t="str">
        <f t="shared" si="3"/>
        <v>High Total Screen</v>
      </c>
      <c r="S351" s="2" t="str">
        <f t="shared" si="4"/>
        <v>Higher Exercise</v>
      </c>
      <c r="T351" s="2" t="str">
        <f t="shared" si="5"/>
        <v>Higher Social</v>
      </c>
      <c r="AA351" s="1">
        <v>5.48</v>
      </c>
      <c r="AB351" s="2">
        <f t="shared" si="6"/>
        <v>1.86872051</v>
      </c>
    </row>
    <row r="352">
      <c r="A352" s="1" t="s">
        <v>435</v>
      </c>
      <c r="B352" s="1">
        <v>32.0</v>
      </c>
      <c r="C352" s="1" t="s">
        <v>30</v>
      </c>
      <c r="D352" s="1" t="s">
        <v>32</v>
      </c>
      <c r="E352" s="1" t="s">
        <v>18</v>
      </c>
      <c r="F352" s="1">
        <v>13.59</v>
      </c>
      <c r="G352" s="1">
        <v>5.85</v>
      </c>
      <c r="H352" s="1">
        <v>7.74</v>
      </c>
      <c r="I352" s="1">
        <v>7.66</v>
      </c>
      <c r="J352" s="1">
        <v>1.0</v>
      </c>
      <c r="K352" s="1">
        <v>10.0</v>
      </c>
      <c r="L352" s="1">
        <v>23.2</v>
      </c>
      <c r="M352" s="1">
        <v>253.0</v>
      </c>
      <c r="N352" s="1">
        <v>6.0</v>
      </c>
      <c r="O352" s="1">
        <v>0.0</v>
      </c>
      <c r="P352" s="2">
        <f t="shared" si="1"/>
        <v>0</v>
      </c>
      <c r="Q352" s="1" t="str">
        <f t="shared" si="2"/>
        <v>High Leisure Screen</v>
      </c>
      <c r="R352" s="2" t="str">
        <f t="shared" si="3"/>
        <v>High Total Screen</v>
      </c>
      <c r="S352" s="2" t="str">
        <f t="shared" si="4"/>
        <v>Higher Exercise</v>
      </c>
      <c r="T352" s="2" t="str">
        <f t="shared" si="5"/>
        <v>Lower Social</v>
      </c>
      <c r="AA352" s="1">
        <v>5.85</v>
      </c>
      <c r="AB352" s="2">
        <f t="shared" si="6"/>
        <v>1.924248652</v>
      </c>
    </row>
    <row r="353">
      <c r="A353" s="1" t="s">
        <v>436</v>
      </c>
      <c r="B353" s="1">
        <v>41.0</v>
      </c>
      <c r="C353" s="1" t="s">
        <v>30</v>
      </c>
      <c r="D353" s="1" t="s">
        <v>37</v>
      </c>
      <c r="E353" s="1" t="s">
        <v>27</v>
      </c>
      <c r="F353" s="1">
        <v>1.32</v>
      </c>
      <c r="G353" s="1">
        <v>0.17</v>
      </c>
      <c r="H353" s="1">
        <v>1.15</v>
      </c>
      <c r="I353" s="1">
        <v>8.39</v>
      </c>
      <c r="J353" s="1">
        <v>2.0</v>
      </c>
      <c r="K353" s="1">
        <v>0.2</v>
      </c>
      <c r="L353" s="1">
        <v>97.1</v>
      </c>
      <c r="M353" s="1">
        <v>124.0</v>
      </c>
      <c r="N353" s="1">
        <v>13.4</v>
      </c>
      <c r="O353" s="1">
        <v>84.4</v>
      </c>
      <c r="P353" s="2">
        <f t="shared" si="1"/>
        <v>0</v>
      </c>
      <c r="Q353" s="1" t="str">
        <f t="shared" si="2"/>
        <v>Low Leisure Screen</v>
      </c>
      <c r="R353" s="2" t="str">
        <f t="shared" si="3"/>
        <v>Low Total Screen</v>
      </c>
      <c r="S353" s="2" t="str">
        <f t="shared" si="4"/>
        <v/>
      </c>
      <c r="T353" s="2" t="str">
        <f t="shared" si="5"/>
        <v/>
      </c>
      <c r="AA353" s="1">
        <v>0.17</v>
      </c>
      <c r="AB353" s="2">
        <f t="shared" si="6"/>
        <v>0.1570037488</v>
      </c>
    </row>
    <row r="354">
      <c r="A354" s="1" t="s">
        <v>437</v>
      </c>
      <c r="B354" s="1">
        <v>36.0</v>
      </c>
      <c r="C354" s="1" t="s">
        <v>16</v>
      </c>
      <c r="D354" s="1" t="s">
        <v>32</v>
      </c>
      <c r="E354" s="1" t="s">
        <v>18</v>
      </c>
      <c r="F354" s="1">
        <v>14.02</v>
      </c>
      <c r="G354" s="1">
        <v>7.36</v>
      </c>
      <c r="H354" s="1">
        <v>6.66</v>
      </c>
      <c r="I354" s="1">
        <v>7.5</v>
      </c>
      <c r="J354" s="1">
        <v>1.0</v>
      </c>
      <c r="K354" s="1">
        <v>10.0</v>
      </c>
      <c r="L354" s="1">
        <v>34.1</v>
      </c>
      <c r="M354" s="1">
        <v>210.0</v>
      </c>
      <c r="N354" s="1">
        <v>1.8</v>
      </c>
      <c r="O354" s="1">
        <v>5.2</v>
      </c>
      <c r="P354" s="2">
        <f t="shared" si="1"/>
        <v>0</v>
      </c>
      <c r="Q354" s="1" t="str">
        <f t="shared" si="2"/>
        <v>Low Leisure Screen</v>
      </c>
      <c r="R354" s="2" t="str">
        <f t="shared" si="3"/>
        <v>High Total Screen</v>
      </c>
      <c r="S354" s="2" t="str">
        <f t="shared" si="4"/>
        <v>Higher Exercise</v>
      </c>
      <c r="T354" s="2" t="str">
        <f t="shared" si="5"/>
        <v>Lower Social</v>
      </c>
      <c r="AA354" s="1">
        <v>7.36</v>
      </c>
      <c r="AB354" s="2">
        <f t="shared" si="6"/>
        <v>2.123458427</v>
      </c>
    </row>
    <row r="355">
      <c r="A355" s="1" t="s">
        <v>438</v>
      </c>
      <c r="B355" s="1">
        <v>28.0</v>
      </c>
      <c r="C355" s="1" t="s">
        <v>16</v>
      </c>
      <c r="D355" s="1" t="s">
        <v>17</v>
      </c>
      <c r="E355" s="1" t="s">
        <v>27</v>
      </c>
      <c r="F355" s="1">
        <v>7.06</v>
      </c>
      <c r="G355" s="1">
        <v>1.54</v>
      </c>
      <c r="H355" s="1">
        <v>5.52</v>
      </c>
      <c r="I355" s="1">
        <v>7.11</v>
      </c>
      <c r="J355" s="1">
        <v>1.0</v>
      </c>
      <c r="K355" s="1">
        <v>9.1</v>
      </c>
      <c r="L355" s="1">
        <v>39.8</v>
      </c>
      <c r="M355" s="1">
        <v>96.0</v>
      </c>
      <c r="N355" s="1">
        <v>5.6</v>
      </c>
      <c r="O355" s="1">
        <v>5.6</v>
      </c>
      <c r="P355" s="2">
        <f t="shared" si="1"/>
        <v>0</v>
      </c>
      <c r="Q355" s="1" t="str">
        <f t="shared" si="2"/>
        <v>Low Leisure Screen</v>
      </c>
      <c r="R355" s="2" t="str">
        <f t="shared" si="3"/>
        <v>Low Total Screen</v>
      </c>
      <c r="S355" s="2" t="str">
        <f t="shared" si="4"/>
        <v/>
      </c>
      <c r="T355" s="2" t="str">
        <f t="shared" si="5"/>
        <v/>
      </c>
      <c r="AA355" s="1">
        <v>1.54</v>
      </c>
      <c r="AB355" s="2">
        <f t="shared" si="6"/>
        <v>0.932164081</v>
      </c>
    </row>
    <row r="356">
      <c r="A356" s="1" t="s">
        <v>439</v>
      </c>
      <c r="B356" s="1">
        <v>29.0</v>
      </c>
      <c r="C356" s="1" t="s">
        <v>16</v>
      </c>
      <c r="D356" s="1" t="s">
        <v>17</v>
      </c>
      <c r="E356" s="1" t="s">
        <v>27</v>
      </c>
      <c r="F356" s="1">
        <v>9.87</v>
      </c>
      <c r="G356" s="1">
        <v>2.41</v>
      </c>
      <c r="H356" s="1">
        <v>7.46</v>
      </c>
      <c r="I356" s="1">
        <v>6.21</v>
      </c>
      <c r="J356" s="1">
        <v>1.0</v>
      </c>
      <c r="K356" s="1">
        <v>8.8</v>
      </c>
      <c r="L356" s="1">
        <v>41.1</v>
      </c>
      <c r="M356" s="1">
        <v>2.0</v>
      </c>
      <c r="N356" s="1">
        <v>7.1</v>
      </c>
      <c r="O356" s="1">
        <v>8.5</v>
      </c>
      <c r="P356" s="2">
        <f t="shared" si="1"/>
        <v>0</v>
      </c>
      <c r="Q356" s="1" t="str">
        <f t="shared" si="2"/>
        <v>High Leisure Screen</v>
      </c>
      <c r="R356" s="2" t="str">
        <f t="shared" si="3"/>
        <v>High Total Screen</v>
      </c>
      <c r="S356" s="2" t="str">
        <f t="shared" si="4"/>
        <v>Lower Exercise</v>
      </c>
      <c r="T356" s="2" t="str">
        <f t="shared" si="5"/>
        <v>Lower Social</v>
      </c>
      <c r="AA356" s="1">
        <v>2.41</v>
      </c>
      <c r="AB356" s="2">
        <f t="shared" si="6"/>
        <v>1.226712291</v>
      </c>
    </row>
    <row r="357">
      <c r="A357" s="1" t="s">
        <v>440</v>
      </c>
      <c r="B357" s="1">
        <v>21.0</v>
      </c>
      <c r="C357" s="1" t="s">
        <v>30</v>
      </c>
      <c r="D357" s="1" t="s">
        <v>17</v>
      </c>
      <c r="E357" s="1" t="s">
        <v>23</v>
      </c>
      <c r="F357" s="1">
        <v>6.97</v>
      </c>
      <c r="G357" s="1">
        <v>0.35</v>
      </c>
      <c r="H357" s="1">
        <v>6.62</v>
      </c>
      <c r="I357" s="1">
        <v>7.48</v>
      </c>
      <c r="J357" s="1">
        <v>1.0</v>
      </c>
      <c r="K357" s="1">
        <v>7.1</v>
      </c>
      <c r="L357" s="1">
        <v>47.3</v>
      </c>
      <c r="M357" s="1">
        <v>90.0</v>
      </c>
      <c r="N357" s="1">
        <v>6.5</v>
      </c>
      <c r="O357" s="1">
        <v>13.6</v>
      </c>
      <c r="P357" s="2">
        <f t="shared" si="1"/>
        <v>0</v>
      </c>
      <c r="Q357" s="1" t="str">
        <f t="shared" si="2"/>
        <v>Low Leisure Screen</v>
      </c>
      <c r="R357" s="2" t="str">
        <f t="shared" si="3"/>
        <v>Low Total Screen</v>
      </c>
      <c r="S357" s="2" t="str">
        <f t="shared" si="4"/>
        <v/>
      </c>
      <c r="T357" s="2" t="str">
        <f t="shared" si="5"/>
        <v/>
      </c>
      <c r="AA357" s="1">
        <v>0.35</v>
      </c>
      <c r="AB357" s="2">
        <f t="shared" si="6"/>
        <v>0.3001045925</v>
      </c>
    </row>
    <row r="358">
      <c r="A358" s="1" t="s">
        <v>441</v>
      </c>
      <c r="B358" s="1">
        <v>29.0</v>
      </c>
      <c r="C358" s="1" t="s">
        <v>16</v>
      </c>
      <c r="D358" s="1" t="s">
        <v>17</v>
      </c>
      <c r="E358" s="1" t="s">
        <v>27</v>
      </c>
      <c r="F358" s="1">
        <v>12.02</v>
      </c>
      <c r="G358" s="1">
        <v>2.21</v>
      </c>
      <c r="H358" s="1">
        <v>9.81</v>
      </c>
      <c r="I358" s="1">
        <v>6.41</v>
      </c>
      <c r="J358" s="1">
        <v>1.0</v>
      </c>
      <c r="K358" s="1">
        <v>10.0</v>
      </c>
      <c r="L358" s="1">
        <v>39.7</v>
      </c>
      <c r="M358" s="1">
        <v>159.0</v>
      </c>
      <c r="N358" s="1">
        <v>11.7</v>
      </c>
      <c r="O358" s="1">
        <v>12.0</v>
      </c>
      <c r="P358" s="2">
        <f t="shared" si="1"/>
        <v>0</v>
      </c>
      <c r="Q358" s="1" t="str">
        <f t="shared" si="2"/>
        <v>High Leisure Screen</v>
      </c>
      <c r="R358" s="2" t="str">
        <f t="shared" si="3"/>
        <v>High Total Screen</v>
      </c>
      <c r="S358" s="2" t="str">
        <f t="shared" si="4"/>
        <v>Higher Exercise</v>
      </c>
      <c r="T358" s="2" t="str">
        <f t="shared" si="5"/>
        <v>Higher Social</v>
      </c>
      <c r="AA358" s="1">
        <v>2.21</v>
      </c>
      <c r="AB358" s="2">
        <f t="shared" si="6"/>
        <v>1.166270937</v>
      </c>
    </row>
    <row r="359">
      <c r="A359" s="1" t="s">
        <v>442</v>
      </c>
      <c r="B359" s="1">
        <v>27.0</v>
      </c>
      <c r="C359" s="1" t="s">
        <v>16</v>
      </c>
      <c r="D359" s="1" t="s">
        <v>32</v>
      </c>
      <c r="E359" s="1" t="s">
        <v>23</v>
      </c>
      <c r="F359" s="1">
        <v>6.9</v>
      </c>
      <c r="G359" s="1">
        <v>0.77</v>
      </c>
      <c r="H359" s="1">
        <v>6.13</v>
      </c>
      <c r="I359" s="1">
        <v>6.39</v>
      </c>
      <c r="J359" s="1">
        <v>1.0</v>
      </c>
      <c r="K359" s="1">
        <v>7.4</v>
      </c>
      <c r="L359" s="1">
        <v>63.0</v>
      </c>
      <c r="M359" s="1">
        <v>56.0</v>
      </c>
      <c r="N359" s="1">
        <v>1.5</v>
      </c>
      <c r="O359" s="1">
        <v>28.3</v>
      </c>
      <c r="P359" s="2">
        <f t="shared" si="1"/>
        <v>0</v>
      </c>
      <c r="Q359" s="1" t="str">
        <f t="shared" si="2"/>
        <v>Low Leisure Screen</v>
      </c>
      <c r="R359" s="2" t="str">
        <f t="shared" si="3"/>
        <v>Low Total Screen</v>
      </c>
      <c r="S359" s="2" t="str">
        <f t="shared" si="4"/>
        <v/>
      </c>
      <c r="T359" s="2" t="str">
        <f t="shared" si="5"/>
        <v/>
      </c>
      <c r="AA359" s="1">
        <v>0.77</v>
      </c>
      <c r="AB359" s="2">
        <f t="shared" si="6"/>
        <v>0.5709795466</v>
      </c>
    </row>
    <row r="360">
      <c r="A360" s="1" t="s">
        <v>443</v>
      </c>
      <c r="B360" s="1">
        <v>32.0</v>
      </c>
      <c r="C360" s="1" t="s">
        <v>30</v>
      </c>
      <c r="D360" s="1" t="s">
        <v>17</v>
      </c>
      <c r="E360" s="1" t="s">
        <v>18</v>
      </c>
      <c r="F360" s="1">
        <v>5.74</v>
      </c>
      <c r="G360" s="1">
        <v>1.57</v>
      </c>
      <c r="H360" s="1">
        <v>4.17</v>
      </c>
      <c r="I360" s="1">
        <v>8.73</v>
      </c>
      <c r="J360" s="1">
        <v>2.0</v>
      </c>
      <c r="K360" s="1">
        <v>4.3</v>
      </c>
      <c r="L360" s="1">
        <v>84.8</v>
      </c>
      <c r="M360" s="1">
        <v>83.0</v>
      </c>
      <c r="N360" s="1">
        <v>12.2</v>
      </c>
      <c r="O360" s="1">
        <v>47.2</v>
      </c>
      <c r="P360" s="2">
        <f t="shared" si="1"/>
        <v>0</v>
      </c>
      <c r="Q360" s="1" t="str">
        <f t="shared" si="2"/>
        <v>Low Leisure Screen</v>
      </c>
      <c r="R360" s="2" t="str">
        <f t="shared" si="3"/>
        <v>Low Total Screen</v>
      </c>
      <c r="S360" s="2" t="str">
        <f t="shared" si="4"/>
        <v/>
      </c>
      <c r="T360" s="2" t="str">
        <f t="shared" si="5"/>
        <v/>
      </c>
      <c r="AA360" s="1">
        <v>1.57</v>
      </c>
      <c r="AB360" s="2">
        <f t="shared" si="6"/>
        <v>0.9439058989</v>
      </c>
    </row>
    <row r="361">
      <c r="A361" s="1" t="s">
        <v>444</v>
      </c>
      <c r="B361" s="1">
        <v>23.0</v>
      </c>
      <c r="C361" s="1" t="s">
        <v>16</v>
      </c>
      <c r="D361" s="1" t="s">
        <v>17</v>
      </c>
      <c r="E361" s="1" t="s">
        <v>23</v>
      </c>
      <c r="F361" s="1">
        <v>10.97</v>
      </c>
      <c r="G361" s="1">
        <v>1.43</v>
      </c>
      <c r="H361" s="1">
        <v>9.54</v>
      </c>
      <c r="I361" s="1">
        <v>6.19</v>
      </c>
      <c r="J361" s="1">
        <v>1.0</v>
      </c>
      <c r="K361" s="1">
        <v>9.5</v>
      </c>
      <c r="L361" s="1">
        <v>46.0</v>
      </c>
      <c r="M361" s="1">
        <v>130.0</v>
      </c>
      <c r="N361" s="1">
        <v>12.3</v>
      </c>
      <c r="O361" s="1">
        <v>0.4</v>
      </c>
      <c r="P361" s="2">
        <f t="shared" si="1"/>
        <v>0</v>
      </c>
      <c r="Q361" s="1" t="str">
        <f t="shared" si="2"/>
        <v>High Leisure Screen</v>
      </c>
      <c r="R361" s="2" t="str">
        <f t="shared" si="3"/>
        <v>High Total Screen</v>
      </c>
      <c r="S361" s="2" t="str">
        <f t="shared" si="4"/>
        <v>Higher Exercise</v>
      </c>
      <c r="T361" s="2" t="str">
        <f t="shared" si="5"/>
        <v>Higher Social</v>
      </c>
      <c r="AA361" s="1">
        <v>1.43</v>
      </c>
      <c r="AB361" s="2">
        <f t="shared" si="6"/>
        <v>0.8878912574</v>
      </c>
    </row>
    <row r="362">
      <c r="A362" s="1" t="s">
        <v>445</v>
      </c>
      <c r="B362" s="1">
        <v>34.0</v>
      </c>
      <c r="C362" s="1" t="s">
        <v>30</v>
      </c>
      <c r="D362" s="1" t="s">
        <v>32</v>
      </c>
      <c r="E362" s="1" t="s">
        <v>23</v>
      </c>
      <c r="F362" s="1">
        <v>10.24</v>
      </c>
      <c r="G362" s="1">
        <v>0.51</v>
      </c>
      <c r="H362" s="1">
        <v>9.73</v>
      </c>
      <c r="I362" s="1">
        <v>5.43</v>
      </c>
      <c r="J362" s="1">
        <v>1.0</v>
      </c>
      <c r="K362" s="1">
        <v>10.0</v>
      </c>
      <c r="L362" s="1">
        <v>36.9</v>
      </c>
      <c r="M362" s="1">
        <v>99.0</v>
      </c>
      <c r="N362" s="1">
        <v>6.6</v>
      </c>
      <c r="O362" s="1">
        <v>0.0</v>
      </c>
      <c r="P362" s="2">
        <f t="shared" si="1"/>
        <v>0</v>
      </c>
      <c r="Q362" s="1" t="str">
        <f t="shared" si="2"/>
        <v>High Leisure Screen</v>
      </c>
      <c r="R362" s="2" t="str">
        <f t="shared" si="3"/>
        <v>High Total Screen</v>
      </c>
      <c r="S362" s="2" t="str">
        <f t="shared" si="4"/>
        <v>Lower Exercise</v>
      </c>
      <c r="T362" s="2" t="str">
        <f t="shared" si="5"/>
        <v>Lower Social</v>
      </c>
      <c r="AA362" s="1">
        <v>0.51</v>
      </c>
      <c r="AB362" s="2">
        <f t="shared" si="6"/>
        <v>0.4121096508</v>
      </c>
    </row>
    <row r="363">
      <c r="A363" s="1" t="s">
        <v>446</v>
      </c>
      <c r="B363" s="1">
        <v>42.0</v>
      </c>
      <c r="C363" s="1" t="s">
        <v>16</v>
      </c>
      <c r="D363" s="1" t="s">
        <v>17</v>
      </c>
      <c r="E363" s="1" t="s">
        <v>27</v>
      </c>
      <c r="F363" s="1">
        <v>6.26</v>
      </c>
      <c r="G363" s="1">
        <v>0.94</v>
      </c>
      <c r="H363" s="1">
        <v>5.32</v>
      </c>
      <c r="I363" s="1">
        <v>8.64</v>
      </c>
      <c r="J363" s="1">
        <v>2.0</v>
      </c>
      <c r="K363" s="1">
        <v>3.8</v>
      </c>
      <c r="L363" s="1">
        <v>67.8</v>
      </c>
      <c r="M363" s="1">
        <v>167.0</v>
      </c>
      <c r="N363" s="1">
        <v>2.7</v>
      </c>
      <c r="O363" s="1">
        <v>57.1</v>
      </c>
      <c r="P363" s="2">
        <f t="shared" si="1"/>
        <v>0</v>
      </c>
      <c r="Q363" s="1" t="str">
        <f t="shared" si="2"/>
        <v>Low Leisure Screen</v>
      </c>
      <c r="R363" s="2" t="str">
        <f t="shared" si="3"/>
        <v>Low Total Screen</v>
      </c>
      <c r="S363" s="2" t="str">
        <f t="shared" si="4"/>
        <v/>
      </c>
      <c r="T363" s="2" t="str">
        <f t="shared" si="5"/>
        <v/>
      </c>
      <c r="AA363" s="1">
        <v>0.94</v>
      </c>
      <c r="AB363" s="2">
        <f t="shared" si="6"/>
        <v>0.6626879731</v>
      </c>
    </row>
    <row r="364">
      <c r="A364" s="1" t="s">
        <v>447</v>
      </c>
      <c r="B364" s="1">
        <v>29.0</v>
      </c>
      <c r="C364" s="1" t="s">
        <v>16</v>
      </c>
      <c r="D364" s="1" t="s">
        <v>32</v>
      </c>
      <c r="E364" s="1" t="s">
        <v>27</v>
      </c>
      <c r="F364" s="1">
        <v>11.49</v>
      </c>
      <c r="G364" s="1">
        <v>0.75</v>
      </c>
      <c r="H364" s="1">
        <v>10.74</v>
      </c>
      <c r="I364" s="1">
        <v>6.26</v>
      </c>
      <c r="J364" s="1">
        <v>1.0</v>
      </c>
      <c r="K364" s="1">
        <v>10.0</v>
      </c>
      <c r="L364" s="1">
        <v>30.2</v>
      </c>
      <c r="M364" s="1">
        <v>105.0</v>
      </c>
      <c r="N364" s="1">
        <v>7.6</v>
      </c>
      <c r="O364" s="1">
        <v>0.0</v>
      </c>
      <c r="P364" s="2">
        <f t="shared" si="1"/>
        <v>0</v>
      </c>
      <c r="Q364" s="1" t="str">
        <f t="shared" si="2"/>
        <v>High Leisure Screen</v>
      </c>
      <c r="R364" s="2" t="str">
        <f t="shared" si="3"/>
        <v>High Total Screen</v>
      </c>
      <c r="S364" s="2" t="str">
        <f t="shared" si="4"/>
        <v>Higher Exercise</v>
      </c>
      <c r="T364" s="2" t="str">
        <f t="shared" si="5"/>
        <v>Lower Social</v>
      </c>
      <c r="AA364" s="1">
        <v>0.75</v>
      </c>
      <c r="AB364" s="2">
        <f t="shared" si="6"/>
        <v>0.5596157879</v>
      </c>
    </row>
    <row r="365">
      <c r="A365" s="1" t="s">
        <v>448</v>
      </c>
      <c r="B365" s="1">
        <v>33.0</v>
      </c>
      <c r="C365" s="1" t="s">
        <v>16</v>
      </c>
      <c r="D365" s="1" t="s">
        <v>32</v>
      </c>
      <c r="E365" s="1" t="s">
        <v>23</v>
      </c>
      <c r="F365" s="1">
        <v>10.39</v>
      </c>
      <c r="G365" s="1">
        <v>0.52</v>
      </c>
      <c r="H365" s="1">
        <v>9.87</v>
      </c>
      <c r="I365" s="1">
        <v>6.39</v>
      </c>
      <c r="J365" s="1">
        <v>1.0</v>
      </c>
      <c r="K365" s="1">
        <v>10.0</v>
      </c>
      <c r="L365" s="1">
        <v>34.8</v>
      </c>
      <c r="M365" s="1">
        <v>131.0</v>
      </c>
      <c r="N365" s="1">
        <v>8.3</v>
      </c>
      <c r="O365" s="1">
        <v>0.0</v>
      </c>
      <c r="P365" s="2">
        <f t="shared" si="1"/>
        <v>0</v>
      </c>
      <c r="Q365" s="1" t="str">
        <f t="shared" si="2"/>
        <v>High Leisure Screen</v>
      </c>
      <c r="R365" s="2" t="str">
        <f t="shared" si="3"/>
        <v>High Total Screen</v>
      </c>
      <c r="S365" s="2" t="str">
        <f t="shared" si="4"/>
        <v>Higher Exercise</v>
      </c>
      <c r="T365" s="2" t="str">
        <f t="shared" si="5"/>
        <v>Higher Social</v>
      </c>
      <c r="AA365" s="1">
        <v>0.52</v>
      </c>
      <c r="AB365" s="2">
        <f t="shared" si="6"/>
        <v>0.4187103349</v>
      </c>
    </row>
    <row r="366">
      <c r="A366" s="1" t="s">
        <v>449</v>
      </c>
      <c r="B366" s="1">
        <v>35.0</v>
      </c>
      <c r="C366" s="1" t="s">
        <v>30</v>
      </c>
      <c r="D366" s="1" t="s">
        <v>17</v>
      </c>
      <c r="E366" s="1" t="s">
        <v>18</v>
      </c>
      <c r="F366" s="1">
        <v>8.72</v>
      </c>
      <c r="G366" s="1">
        <v>2.36</v>
      </c>
      <c r="H366" s="1">
        <v>6.36</v>
      </c>
      <c r="I366" s="1">
        <v>5.73</v>
      </c>
      <c r="J366" s="1">
        <v>1.0</v>
      </c>
      <c r="K366" s="1">
        <v>10.0</v>
      </c>
      <c r="L366" s="1">
        <v>39.6</v>
      </c>
      <c r="M366" s="1">
        <v>78.0</v>
      </c>
      <c r="N366" s="1">
        <v>6.7</v>
      </c>
      <c r="O366" s="1">
        <v>3.3</v>
      </c>
      <c r="P366" s="2">
        <f t="shared" si="1"/>
        <v>0</v>
      </c>
      <c r="Q366" s="1" t="str">
        <f t="shared" si="2"/>
        <v>Low Leisure Screen</v>
      </c>
      <c r="R366" s="2" t="str">
        <f t="shared" si="3"/>
        <v>Low Total Screen</v>
      </c>
      <c r="S366" s="2" t="str">
        <f t="shared" si="4"/>
        <v/>
      </c>
      <c r="T366" s="2" t="str">
        <f t="shared" si="5"/>
        <v/>
      </c>
      <c r="AA366" s="1">
        <v>2.36</v>
      </c>
      <c r="AB366" s="2">
        <f t="shared" si="6"/>
        <v>1.211940974</v>
      </c>
    </row>
    <row r="367">
      <c r="A367" s="1" t="s">
        <v>450</v>
      </c>
      <c r="B367" s="1">
        <v>26.0</v>
      </c>
      <c r="C367" s="1" t="s">
        <v>30</v>
      </c>
      <c r="D367" s="1" t="s">
        <v>32</v>
      </c>
      <c r="E367" s="1" t="s">
        <v>18</v>
      </c>
      <c r="F367" s="1">
        <v>11.58</v>
      </c>
      <c r="G367" s="1">
        <v>5.71</v>
      </c>
      <c r="H367" s="1">
        <v>5.87</v>
      </c>
      <c r="I367" s="1">
        <v>8.02</v>
      </c>
      <c r="J367" s="1">
        <v>3.0</v>
      </c>
      <c r="K367" s="1">
        <v>9.9</v>
      </c>
      <c r="L367" s="1">
        <v>52.1</v>
      </c>
      <c r="M367" s="1">
        <v>103.0</v>
      </c>
      <c r="N367" s="1">
        <v>5.7</v>
      </c>
      <c r="O367" s="1">
        <v>22.3</v>
      </c>
      <c r="P367" s="2">
        <f t="shared" si="1"/>
        <v>0</v>
      </c>
      <c r="Q367" s="1" t="str">
        <f t="shared" si="2"/>
        <v>Low Leisure Screen</v>
      </c>
      <c r="R367" s="2" t="str">
        <f t="shared" si="3"/>
        <v>High Total Screen</v>
      </c>
      <c r="S367" s="2" t="str">
        <f t="shared" si="4"/>
        <v>Lower Exercise</v>
      </c>
      <c r="T367" s="2" t="str">
        <f t="shared" si="5"/>
        <v>Lower Social</v>
      </c>
      <c r="AA367" s="1">
        <v>5.71</v>
      </c>
      <c r="AB367" s="2">
        <f t="shared" si="6"/>
        <v>1.903598951</v>
      </c>
    </row>
    <row r="368">
      <c r="A368" s="1" t="s">
        <v>451</v>
      </c>
      <c r="B368" s="1">
        <v>31.0</v>
      </c>
      <c r="C368" s="1" t="s">
        <v>30</v>
      </c>
      <c r="D368" s="1" t="s">
        <v>17</v>
      </c>
      <c r="E368" s="1" t="s">
        <v>27</v>
      </c>
      <c r="F368" s="1">
        <v>7.73</v>
      </c>
      <c r="G368" s="1">
        <v>1.52</v>
      </c>
      <c r="H368" s="1">
        <v>6.21</v>
      </c>
      <c r="I368" s="1">
        <v>6.22</v>
      </c>
      <c r="J368" s="1">
        <v>1.0</v>
      </c>
      <c r="K368" s="1">
        <v>7.1</v>
      </c>
      <c r="L368" s="1">
        <v>51.9</v>
      </c>
      <c r="M368" s="1">
        <v>47.0</v>
      </c>
      <c r="N368" s="1">
        <v>16.4</v>
      </c>
      <c r="O368" s="1">
        <v>20.7</v>
      </c>
      <c r="P368" s="2">
        <f t="shared" si="1"/>
        <v>0</v>
      </c>
      <c r="Q368" s="1" t="str">
        <f t="shared" si="2"/>
        <v>Low Leisure Screen</v>
      </c>
      <c r="R368" s="2" t="str">
        <f t="shared" si="3"/>
        <v>Low Total Screen</v>
      </c>
      <c r="S368" s="2" t="str">
        <f t="shared" si="4"/>
        <v/>
      </c>
      <c r="T368" s="2" t="str">
        <f t="shared" si="5"/>
        <v/>
      </c>
      <c r="AA368" s="1">
        <v>1.52</v>
      </c>
      <c r="AB368" s="2">
        <f t="shared" si="6"/>
        <v>0.9242589015</v>
      </c>
    </row>
    <row r="369">
      <c r="A369" s="1" t="s">
        <v>452</v>
      </c>
      <c r="B369" s="1">
        <v>30.0</v>
      </c>
      <c r="C369" s="1" t="s">
        <v>16</v>
      </c>
      <c r="D369" s="1" t="s">
        <v>17</v>
      </c>
      <c r="E369" s="1" t="s">
        <v>18</v>
      </c>
      <c r="F369" s="1">
        <v>11.64</v>
      </c>
      <c r="G369" s="1">
        <v>6.11</v>
      </c>
      <c r="H369" s="1">
        <v>5.53</v>
      </c>
      <c r="I369" s="1">
        <v>6.7</v>
      </c>
      <c r="J369" s="1">
        <v>2.0</v>
      </c>
      <c r="K369" s="1">
        <v>10.0</v>
      </c>
      <c r="L369" s="1">
        <v>48.6</v>
      </c>
      <c r="M369" s="1">
        <v>178.0</v>
      </c>
      <c r="N369" s="1">
        <v>2.0</v>
      </c>
      <c r="O369" s="1">
        <v>8.2</v>
      </c>
      <c r="P369" s="2">
        <f t="shared" si="1"/>
        <v>0</v>
      </c>
      <c r="Q369" s="1" t="str">
        <f t="shared" si="2"/>
        <v>Low Leisure Screen</v>
      </c>
      <c r="R369" s="2" t="str">
        <f t="shared" si="3"/>
        <v>High Total Screen</v>
      </c>
      <c r="S369" s="2" t="str">
        <f t="shared" si="4"/>
        <v>Higher Exercise</v>
      </c>
      <c r="T369" s="2" t="str">
        <f t="shared" si="5"/>
        <v>Lower Social</v>
      </c>
      <c r="AA369" s="1">
        <v>6.11</v>
      </c>
      <c r="AB369" s="2">
        <f t="shared" si="6"/>
        <v>1.961502244</v>
      </c>
    </row>
    <row r="370">
      <c r="A370" s="1" t="s">
        <v>453</v>
      </c>
      <c r="B370" s="1">
        <v>30.0</v>
      </c>
      <c r="C370" s="1" t="s">
        <v>30</v>
      </c>
      <c r="D370" s="1" t="s">
        <v>35</v>
      </c>
      <c r="E370" s="1" t="s">
        <v>18</v>
      </c>
      <c r="F370" s="1">
        <v>8.06</v>
      </c>
      <c r="G370" s="1">
        <v>2.81</v>
      </c>
      <c r="H370" s="1">
        <v>5.25</v>
      </c>
      <c r="I370" s="1">
        <v>7.92</v>
      </c>
      <c r="J370" s="1">
        <v>2.0</v>
      </c>
      <c r="K370" s="1">
        <v>6.8</v>
      </c>
      <c r="L370" s="1">
        <v>63.3</v>
      </c>
      <c r="M370" s="1">
        <v>65.0</v>
      </c>
      <c r="N370" s="1">
        <v>0.0</v>
      </c>
      <c r="O370" s="1">
        <v>37.3</v>
      </c>
      <c r="P370" s="2">
        <f t="shared" si="1"/>
        <v>0</v>
      </c>
      <c r="Q370" s="1" t="str">
        <f t="shared" si="2"/>
        <v>Low Leisure Screen</v>
      </c>
      <c r="R370" s="2" t="str">
        <f t="shared" si="3"/>
        <v>Low Total Screen</v>
      </c>
      <c r="S370" s="2" t="str">
        <f t="shared" si="4"/>
        <v/>
      </c>
      <c r="T370" s="2" t="str">
        <f t="shared" si="5"/>
        <v/>
      </c>
      <c r="AA370" s="1">
        <v>2.81</v>
      </c>
      <c r="AB370" s="2">
        <f t="shared" si="6"/>
        <v>1.337629189</v>
      </c>
    </row>
    <row r="371">
      <c r="A371" s="1" t="s">
        <v>454</v>
      </c>
      <c r="B371" s="1">
        <v>23.0</v>
      </c>
      <c r="C371" s="1" t="s">
        <v>16</v>
      </c>
      <c r="D371" s="1" t="s">
        <v>32</v>
      </c>
      <c r="E371" s="1" t="s">
        <v>18</v>
      </c>
      <c r="F371" s="1">
        <v>9.05</v>
      </c>
      <c r="G371" s="1">
        <v>3.83</v>
      </c>
      <c r="H371" s="1">
        <v>5.22</v>
      </c>
      <c r="I371" s="1">
        <v>7.31</v>
      </c>
      <c r="J371" s="1">
        <v>1.0</v>
      </c>
      <c r="K371" s="1">
        <v>7.4</v>
      </c>
      <c r="L371" s="1">
        <v>54.9</v>
      </c>
      <c r="M371" s="1">
        <v>179.0</v>
      </c>
      <c r="N371" s="1">
        <v>9.5</v>
      </c>
      <c r="O371" s="1">
        <v>18.5</v>
      </c>
      <c r="P371" s="2">
        <f t="shared" si="1"/>
        <v>0</v>
      </c>
      <c r="Q371" s="1" t="str">
        <f t="shared" si="2"/>
        <v>Low Leisure Screen</v>
      </c>
      <c r="R371" s="2" t="str">
        <f t="shared" si="3"/>
        <v>Low Total Screen</v>
      </c>
      <c r="S371" s="2" t="str">
        <f t="shared" si="4"/>
        <v/>
      </c>
      <c r="T371" s="2" t="str">
        <f t="shared" si="5"/>
        <v/>
      </c>
      <c r="AA371" s="1">
        <v>3.83</v>
      </c>
      <c r="AB371" s="2">
        <f t="shared" si="6"/>
        <v>1.574846468</v>
      </c>
    </row>
    <row r="372">
      <c r="A372" s="1" t="s">
        <v>455</v>
      </c>
      <c r="B372" s="1">
        <v>30.0</v>
      </c>
      <c r="C372" s="1" t="s">
        <v>16</v>
      </c>
      <c r="D372" s="1" t="s">
        <v>32</v>
      </c>
      <c r="E372" s="1" t="s">
        <v>18</v>
      </c>
      <c r="F372" s="1">
        <v>12.03</v>
      </c>
      <c r="G372" s="1">
        <v>4.84</v>
      </c>
      <c r="H372" s="1">
        <v>7.19</v>
      </c>
      <c r="I372" s="1">
        <v>6.55</v>
      </c>
      <c r="J372" s="1">
        <v>1.0</v>
      </c>
      <c r="K372" s="1">
        <v>10.0</v>
      </c>
      <c r="L372" s="1">
        <v>46.8</v>
      </c>
      <c r="M372" s="1">
        <v>69.0</v>
      </c>
      <c r="N372" s="1">
        <v>13.9</v>
      </c>
      <c r="O372" s="1">
        <v>1.2</v>
      </c>
      <c r="P372" s="2">
        <f t="shared" si="1"/>
        <v>0</v>
      </c>
      <c r="Q372" s="1" t="str">
        <f t="shared" si="2"/>
        <v>High Leisure Screen</v>
      </c>
      <c r="R372" s="2" t="str">
        <f t="shared" si="3"/>
        <v>High Total Screen</v>
      </c>
      <c r="S372" s="2" t="str">
        <f t="shared" si="4"/>
        <v>Lower Exercise</v>
      </c>
      <c r="T372" s="2" t="str">
        <f t="shared" si="5"/>
        <v>Higher Social</v>
      </c>
      <c r="AA372" s="1">
        <v>4.84</v>
      </c>
      <c r="AB372" s="2">
        <f t="shared" si="6"/>
        <v>1.764730797</v>
      </c>
    </row>
    <row r="373">
      <c r="A373" s="1" t="s">
        <v>456</v>
      </c>
      <c r="B373" s="1">
        <v>33.0</v>
      </c>
      <c r="C373" s="1" t="s">
        <v>30</v>
      </c>
      <c r="D373" s="1" t="s">
        <v>32</v>
      </c>
      <c r="E373" s="1" t="s">
        <v>18</v>
      </c>
      <c r="F373" s="1">
        <v>11.21</v>
      </c>
      <c r="G373" s="1">
        <v>4.81</v>
      </c>
      <c r="H373" s="1">
        <v>6.4</v>
      </c>
      <c r="I373" s="1">
        <v>5.39</v>
      </c>
      <c r="J373" s="1">
        <v>1.0</v>
      </c>
      <c r="K373" s="1">
        <v>10.0</v>
      </c>
      <c r="L373" s="1">
        <v>34.1</v>
      </c>
      <c r="M373" s="1">
        <v>106.0</v>
      </c>
      <c r="N373" s="1">
        <v>7.9</v>
      </c>
      <c r="O373" s="1">
        <v>0.5</v>
      </c>
      <c r="P373" s="2">
        <f t="shared" si="1"/>
        <v>0</v>
      </c>
      <c r="Q373" s="1" t="str">
        <f t="shared" si="2"/>
        <v>Low Leisure Screen</v>
      </c>
      <c r="R373" s="2" t="str">
        <f t="shared" si="3"/>
        <v>High Total Screen</v>
      </c>
      <c r="S373" s="2" t="str">
        <f t="shared" si="4"/>
        <v>Higher Exercise</v>
      </c>
      <c r="T373" s="2" t="str">
        <f t="shared" si="5"/>
        <v>Higher Social</v>
      </c>
      <c r="AA373" s="1">
        <v>4.81</v>
      </c>
      <c r="AB373" s="2">
        <f t="shared" si="6"/>
        <v>1.759580571</v>
      </c>
    </row>
    <row r="374">
      <c r="A374" s="1" t="s">
        <v>457</v>
      </c>
      <c r="B374" s="1">
        <v>41.0</v>
      </c>
      <c r="C374" s="1" t="s">
        <v>16</v>
      </c>
      <c r="D374" s="1" t="s">
        <v>17</v>
      </c>
      <c r="E374" s="1" t="s">
        <v>23</v>
      </c>
      <c r="F374" s="1">
        <v>10.37</v>
      </c>
      <c r="G374" s="1">
        <v>0.81</v>
      </c>
      <c r="H374" s="1">
        <v>9.56</v>
      </c>
      <c r="I374" s="1">
        <v>6.31</v>
      </c>
      <c r="J374" s="1">
        <v>1.0</v>
      </c>
      <c r="K374" s="1">
        <v>10.0</v>
      </c>
      <c r="L374" s="1">
        <v>45.0</v>
      </c>
      <c r="M374" s="1">
        <v>67.0</v>
      </c>
      <c r="N374" s="1">
        <v>1.8</v>
      </c>
      <c r="O374" s="1">
        <v>3.0</v>
      </c>
      <c r="P374" s="2">
        <f t="shared" si="1"/>
        <v>0</v>
      </c>
      <c r="Q374" s="1" t="str">
        <f t="shared" si="2"/>
        <v>High Leisure Screen</v>
      </c>
      <c r="R374" s="2" t="str">
        <f t="shared" si="3"/>
        <v>High Total Screen</v>
      </c>
      <c r="S374" s="2" t="str">
        <f t="shared" si="4"/>
        <v>Lower Exercise</v>
      </c>
      <c r="T374" s="2" t="str">
        <f t="shared" si="5"/>
        <v>Lower Social</v>
      </c>
      <c r="AA374" s="1">
        <v>0.81</v>
      </c>
      <c r="AB374" s="2">
        <f t="shared" si="6"/>
        <v>0.5933268453</v>
      </c>
    </row>
    <row r="375">
      <c r="A375" s="1" t="s">
        <v>458</v>
      </c>
      <c r="B375" s="1">
        <v>37.0</v>
      </c>
      <c r="C375" s="1" t="s">
        <v>16</v>
      </c>
      <c r="D375" s="1" t="s">
        <v>17</v>
      </c>
      <c r="E375" s="1" t="s">
        <v>27</v>
      </c>
      <c r="F375" s="1">
        <v>5.98</v>
      </c>
      <c r="G375" s="1">
        <v>0.5</v>
      </c>
      <c r="H375" s="1">
        <v>5.48</v>
      </c>
      <c r="I375" s="1">
        <v>7.72</v>
      </c>
      <c r="J375" s="1">
        <v>2.0</v>
      </c>
      <c r="K375" s="1">
        <v>5.6</v>
      </c>
      <c r="L375" s="1">
        <v>72.5</v>
      </c>
      <c r="M375" s="1">
        <v>55.0</v>
      </c>
      <c r="N375" s="1">
        <v>5.0</v>
      </c>
      <c r="O375" s="1">
        <v>43.3</v>
      </c>
      <c r="P375" s="2">
        <f t="shared" si="1"/>
        <v>0</v>
      </c>
      <c r="Q375" s="1" t="str">
        <f t="shared" si="2"/>
        <v>Low Leisure Screen</v>
      </c>
      <c r="R375" s="2" t="str">
        <f t="shared" si="3"/>
        <v>Low Total Screen</v>
      </c>
      <c r="S375" s="2" t="str">
        <f t="shared" si="4"/>
        <v/>
      </c>
      <c r="T375" s="2" t="str">
        <f t="shared" si="5"/>
        <v/>
      </c>
      <c r="AA375" s="1">
        <v>0.5</v>
      </c>
      <c r="AB375" s="2">
        <f t="shared" si="6"/>
        <v>0.4054651081</v>
      </c>
    </row>
    <row r="376">
      <c r="A376" s="1" t="s">
        <v>459</v>
      </c>
      <c r="B376" s="1">
        <v>47.0</v>
      </c>
      <c r="C376" s="1" t="s">
        <v>16</v>
      </c>
      <c r="D376" s="1" t="s">
        <v>32</v>
      </c>
      <c r="E376" s="1" t="s">
        <v>23</v>
      </c>
      <c r="F376" s="1">
        <v>7.77</v>
      </c>
      <c r="G376" s="1">
        <v>0.96</v>
      </c>
      <c r="H376" s="1">
        <v>6.81</v>
      </c>
      <c r="I376" s="1">
        <v>6.77</v>
      </c>
      <c r="J376" s="1">
        <v>1.0</v>
      </c>
      <c r="K376" s="1">
        <v>10.0</v>
      </c>
      <c r="L376" s="1">
        <v>44.3</v>
      </c>
      <c r="M376" s="1">
        <v>0.0</v>
      </c>
      <c r="N376" s="1">
        <v>0.0</v>
      </c>
      <c r="O376" s="1">
        <v>0.0</v>
      </c>
      <c r="P376" s="2">
        <f t="shared" si="1"/>
        <v>0</v>
      </c>
      <c r="Q376" s="1" t="str">
        <f t="shared" si="2"/>
        <v>High Leisure Screen</v>
      </c>
      <c r="R376" s="2" t="str">
        <f t="shared" si="3"/>
        <v>Low Total Screen</v>
      </c>
      <c r="S376" s="2" t="str">
        <f t="shared" si="4"/>
        <v/>
      </c>
      <c r="T376" s="2" t="str">
        <f t="shared" si="5"/>
        <v/>
      </c>
      <c r="AA376" s="1">
        <v>0.96</v>
      </c>
      <c r="AB376" s="2">
        <f t="shared" si="6"/>
        <v>0.6729444732</v>
      </c>
    </row>
    <row r="377">
      <c r="A377" s="1" t="s">
        <v>460</v>
      </c>
      <c r="B377" s="1">
        <v>23.0</v>
      </c>
      <c r="C377" s="1" t="s">
        <v>16</v>
      </c>
      <c r="D377" s="1" t="s">
        <v>43</v>
      </c>
      <c r="E377" s="1" t="s">
        <v>27</v>
      </c>
      <c r="F377" s="1">
        <v>10.19</v>
      </c>
      <c r="G377" s="1">
        <v>2.64</v>
      </c>
      <c r="H377" s="1">
        <v>7.55</v>
      </c>
      <c r="I377" s="1">
        <v>6.96</v>
      </c>
      <c r="J377" s="1">
        <v>1.0</v>
      </c>
      <c r="K377" s="1">
        <v>8.0</v>
      </c>
      <c r="L377" s="1">
        <v>56.0</v>
      </c>
      <c r="M377" s="1">
        <v>19.0</v>
      </c>
      <c r="N377" s="1">
        <v>11.1</v>
      </c>
      <c r="O377" s="1">
        <v>13.8</v>
      </c>
      <c r="P377" s="2">
        <f t="shared" si="1"/>
        <v>0</v>
      </c>
      <c r="Q377" s="1" t="str">
        <f t="shared" si="2"/>
        <v>High Leisure Screen</v>
      </c>
      <c r="R377" s="2" t="str">
        <f t="shared" si="3"/>
        <v>High Total Screen</v>
      </c>
      <c r="S377" s="2" t="str">
        <f t="shared" si="4"/>
        <v>Lower Exercise</v>
      </c>
      <c r="T377" s="2" t="str">
        <f t="shared" si="5"/>
        <v>Higher Social</v>
      </c>
      <c r="AA377" s="1">
        <v>2.64</v>
      </c>
      <c r="AB377" s="2">
        <f t="shared" si="6"/>
        <v>1.291983682</v>
      </c>
    </row>
    <row r="378">
      <c r="A378" s="1" t="s">
        <v>461</v>
      </c>
      <c r="B378" s="1">
        <v>36.0</v>
      </c>
      <c r="C378" s="1" t="s">
        <v>16</v>
      </c>
      <c r="D378" s="1" t="s">
        <v>32</v>
      </c>
      <c r="E378" s="1" t="s">
        <v>18</v>
      </c>
      <c r="F378" s="1">
        <v>11.61</v>
      </c>
      <c r="G378" s="1">
        <v>5.33</v>
      </c>
      <c r="H378" s="1">
        <v>6.28</v>
      </c>
      <c r="I378" s="1">
        <v>7.26</v>
      </c>
      <c r="J378" s="1">
        <v>2.0</v>
      </c>
      <c r="K378" s="1">
        <v>8.2</v>
      </c>
      <c r="L378" s="1">
        <v>59.1</v>
      </c>
      <c r="M378" s="1">
        <v>69.0</v>
      </c>
      <c r="N378" s="1">
        <v>0.0</v>
      </c>
      <c r="O378" s="1">
        <v>25.1</v>
      </c>
      <c r="P378" s="2">
        <f t="shared" si="1"/>
        <v>0</v>
      </c>
      <c r="Q378" s="1" t="str">
        <f t="shared" si="2"/>
        <v>Low Leisure Screen</v>
      </c>
      <c r="R378" s="2" t="str">
        <f t="shared" si="3"/>
        <v>High Total Screen</v>
      </c>
      <c r="S378" s="2" t="str">
        <f t="shared" si="4"/>
        <v>Lower Exercise</v>
      </c>
      <c r="T378" s="2" t="str">
        <f t="shared" si="5"/>
        <v>Lower Social</v>
      </c>
      <c r="AA378" s="1">
        <v>5.33</v>
      </c>
      <c r="AB378" s="2">
        <f t="shared" si="6"/>
        <v>1.845300236</v>
      </c>
    </row>
    <row r="379">
      <c r="A379" s="1" t="s">
        <v>462</v>
      </c>
      <c r="B379" s="1">
        <v>31.0</v>
      </c>
      <c r="C379" s="1" t="s">
        <v>30</v>
      </c>
      <c r="D379" s="1" t="s">
        <v>17</v>
      </c>
      <c r="E379" s="1" t="s">
        <v>27</v>
      </c>
      <c r="F379" s="1">
        <v>6.03</v>
      </c>
      <c r="G379" s="1">
        <v>0.79</v>
      </c>
      <c r="H379" s="1">
        <v>5.24</v>
      </c>
      <c r="I379" s="1">
        <v>8.28</v>
      </c>
      <c r="J379" s="1">
        <v>2.0</v>
      </c>
      <c r="K379" s="1">
        <v>3.2</v>
      </c>
      <c r="L379" s="1">
        <v>76.5</v>
      </c>
      <c r="M379" s="1">
        <v>137.0</v>
      </c>
      <c r="N379" s="1">
        <v>9.4</v>
      </c>
      <c r="O379" s="1">
        <v>50.5</v>
      </c>
      <c r="P379" s="2">
        <f t="shared" si="1"/>
        <v>0</v>
      </c>
      <c r="Q379" s="1" t="str">
        <f t="shared" si="2"/>
        <v>Low Leisure Screen</v>
      </c>
      <c r="R379" s="2" t="str">
        <f t="shared" si="3"/>
        <v>Low Total Screen</v>
      </c>
      <c r="S379" s="2" t="str">
        <f t="shared" si="4"/>
        <v/>
      </c>
      <c r="T379" s="2" t="str">
        <f t="shared" si="5"/>
        <v/>
      </c>
      <c r="AA379" s="1">
        <v>0.79</v>
      </c>
      <c r="AB379" s="2">
        <f t="shared" si="6"/>
        <v>0.5822156199</v>
      </c>
    </row>
    <row r="380">
      <c r="A380" s="1" t="s">
        <v>463</v>
      </c>
      <c r="B380" s="1">
        <v>47.0</v>
      </c>
      <c r="C380" s="1" t="s">
        <v>16</v>
      </c>
      <c r="D380" s="1" t="s">
        <v>17</v>
      </c>
      <c r="E380" s="1" t="s">
        <v>27</v>
      </c>
      <c r="F380" s="1">
        <v>5.0</v>
      </c>
      <c r="G380" s="1">
        <v>0.67</v>
      </c>
      <c r="H380" s="1">
        <v>4.33</v>
      </c>
      <c r="I380" s="1">
        <v>6.84</v>
      </c>
      <c r="J380" s="1">
        <v>1.0</v>
      </c>
      <c r="K380" s="1">
        <v>6.6</v>
      </c>
      <c r="L380" s="1">
        <v>63.0</v>
      </c>
      <c r="M380" s="1">
        <v>207.0</v>
      </c>
      <c r="N380" s="1">
        <v>4.6</v>
      </c>
      <c r="O380" s="1">
        <v>27.3</v>
      </c>
      <c r="P380" s="2">
        <f t="shared" si="1"/>
        <v>0</v>
      </c>
      <c r="Q380" s="1" t="str">
        <f t="shared" si="2"/>
        <v>Low Leisure Screen</v>
      </c>
      <c r="R380" s="2" t="str">
        <f t="shared" si="3"/>
        <v>Low Total Screen</v>
      </c>
      <c r="S380" s="2" t="str">
        <f t="shared" si="4"/>
        <v/>
      </c>
      <c r="T380" s="2" t="str">
        <f t="shared" si="5"/>
        <v/>
      </c>
      <c r="AA380" s="1">
        <v>0.67</v>
      </c>
      <c r="AB380" s="2">
        <f t="shared" si="6"/>
        <v>0.5128236264</v>
      </c>
    </row>
    <row r="381">
      <c r="A381" s="1" t="s">
        <v>464</v>
      </c>
      <c r="B381" s="1">
        <v>23.0</v>
      </c>
      <c r="C381" s="1" t="s">
        <v>30</v>
      </c>
      <c r="D381" s="1" t="s">
        <v>35</v>
      </c>
      <c r="E381" s="1" t="s">
        <v>18</v>
      </c>
      <c r="F381" s="1">
        <v>9.62</v>
      </c>
      <c r="G381" s="1">
        <v>4.12</v>
      </c>
      <c r="H381" s="1">
        <v>5.5</v>
      </c>
      <c r="I381" s="1">
        <v>8.64</v>
      </c>
      <c r="J381" s="1">
        <v>2.0</v>
      </c>
      <c r="K381" s="1">
        <v>8.7</v>
      </c>
      <c r="L381" s="1">
        <v>56.5</v>
      </c>
      <c r="M381" s="1">
        <v>66.0</v>
      </c>
      <c r="N381" s="1">
        <v>9.2</v>
      </c>
      <c r="O381" s="1">
        <v>23.8</v>
      </c>
      <c r="P381" s="2">
        <f t="shared" si="1"/>
        <v>0</v>
      </c>
      <c r="Q381" s="1" t="str">
        <f t="shared" si="2"/>
        <v>Low Leisure Screen</v>
      </c>
      <c r="R381" s="2" t="str">
        <f t="shared" si="3"/>
        <v>High Total Screen</v>
      </c>
      <c r="S381" s="2" t="str">
        <f t="shared" si="4"/>
        <v>Lower Exercise</v>
      </c>
      <c r="T381" s="2" t="str">
        <f t="shared" si="5"/>
        <v>Higher Social</v>
      </c>
      <c r="AA381" s="1">
        <v>4.12</v>
      </c>
      <c r="AB381" s="2">
        <f t="shared" si="6"/>
        <v>1.633154439</v>
      </c>
    </row>
    <row r="382">
      <c r="A382" s="1" t="s">
        <v>465</v>
      </c>
      <c r="B382" s="1">
        <v>23.0</v>
      </c>
      <c r="C382" s="1" t="s">
        <v>30</v>
      </c>
      <c r="D382" s="1" t="s">
        <v>17</v>
      </c>
      <c r="E382" s="1" t="s">
        <v>27</v>
      </c>
      <c r="F382" s="1">
        <v>14.02</v>
      </c>
      <c r="G382" s="1">
        <v>3.21</v>
      </c>
      <c r="H382" s="1">
        <v>10.81</v>
      </c>
      <c r="I382" s="1">
        <v>6.84</v>
      </c>
      <c r="J382" s="1">
        <v>3.0</v>
      </c>
      <c r="K382" s="1">
        <v>10.0</v>
      </c>
      <c r="L382" s="1">
        <v>47.3</v>
      </c>
      <c r="M382" s="1">
        <v>9.0</v>
      </c>
      <c r="N382" s="1">
        <v>6.6</v>
      </c>
      <c r="O382" s="1">
        <v>10.2</v>
      </c>
      <c r="P382" s="2">
        <f t="shared" si="1"/>
        <v>0</v>
      </c>
      <c r="Q382" s="1" t="str">
        <f t="shared" si="2"/>
        <v>High Leisure Screen</v>
      </c>
      <c r="R382" s="2" t="str">
        <f t="shared" si="3"/>
        <v>High Total Screen</v>
      </c>
      <c r="S382" s="2" t="str">
        <f t="shared" si="4"/>
        <v>Lower Exercise</v>
      </c>
      <c r="T382" s="2" t="str">
        <f t="shared" si="5"/>
        <v>Lower Social</v>
      </c>
      <c r="AA382" s="1">
        <v>3.21</v>
      </c>
      <c r="AB382" s="2">
        <f t="shared" si="6"/>
        <v>1.437462648</v>
      </c>
    </row>
    <row r="383">
      <c r="A383" s="1" t="s">
        <v>466</v>
      </c>
      <c r="B383" s="1">
        <v>25.0</v>
      </c>
      <c r="C383" s="1" t="s">
        <v>16</v>
      </c>
      <c r="D383" s="1" t="s">
        <v>35</v>
      </c>
      <c r="E383" s="1" t="s">
        <v>18</v>
      </c>
      <c r="F383" s="1">
        <v>14.07</v>
      </c>
      <c r="G383" s="1">
        <v>4.54</v>
      </c>
      <c r="H383" s="1">
        <v>9.53</v>
      </c>
      <c r="I383" s="1">
        <v>6.24</v>
      </c>
      <c r="J383" s="1">
        <v>1.0</v>
      </c>
      <c r="K383" s="1">
        <v>10.0</v>
      </c>
      <c r="L383" s="1">
        <v>40.4</v>
      </c>
      <c r="M383" s="1">
        <v>0.0</v>
      </c>
      <c r="N383" s="1">
        <v>5.8</v>
      </c>
      <c r="O383" s="1">
        <v>5.8</v>
      </c>
      <c r="P383" s="2">
        <f t="shared" si="1"/>
        <v>0</v>
      </c>
      <c r="Q383" s="1" t="str">
        <f t="shared" si="2"/>
        <v>High Leisure Screen</v>
      </c>
      <c r="R383" s="2" t="str">
        <f t="shared" si="3"/>
        <v>High Total Screen</v>
      </c>
      <c r="S383" s="2" t="str">
        <f t="shared" si="4"/>
        <v>Lower Exercise</v>
      </c>
      <c r="T383" s="2" t="str">
        <f t="shared" si="5"/>
        <v>Lower Social</v>
      </c>
      <c r="AA383" s="1">
        <v>4.54</v>
      </c>
      <c r="AB383" s="2">
        <f t="shared" si="6"/>
        <v>1.711994501</v>
      </c>
    </row>
    <row r="384">
      <c r="A384" s="1" t="s">
        <v>467</v>
      </c>
      <c r="B384" s="1">
        <v>16.0</v>
      </c>
      <c r="C384" s="1" t="s">
        <v>16</v>
      </c>
      <c r="D384" s="1" t="s">
        <v>17</v>
      </c>
      <c r="E384" s="1" t="s">
        <v>27</v>
      </c>
      <c r="F384" s="1">
        <v>7.41</v>
      </c>
      <c r="G384" s="1">
        <v>1.01</v>
      </c>
      <c r="H384" s="1">
        <v>6.4</v>
      </c>
      <c r="I384" s="1">
        <v>8.02</v>
      </c>
      <c r="J384" s="1">
        <v>3.0</v>
      </c>
      <c r="K384" s="1">
        <v>4.9</v>
      </c>
      <c r="L384" s="1">
        <v>81.0</v>
      </c>
      <c r="M384" s="1">
        <v>140.0</v>
      </c>
      <c r="N384" s="1">
        <v>7.2</v>
      </c>
      <c r="O384" s="1">
        <v>67.8</v>
      </c>
      <c r="P384" s="2">
        <f t="shared" si="1"/>
        <v>0</v>
      </c>
      <c r="Q384" s="1" t="str">
        <f t="shared" si="2"/>
        <v>Low Leisure Screen</v>
      </c>
      <c r="R384" s="2" t="str">
        <f t="shared" si="3"/>
        <v>Low Total Screen</v>
      </c>
      <c r="S384" s="2" t="str">
        <f t="shared" si="4"/>
        <v/>
      </c>
      <c r="T384" s="2" t="str">
        <f t="shared" si="5"/>
        <v/>
      </c>
      <c r="AA384" s="1">
        <v>1.01</v>
      </c>
      <c r="AB384" s="2">
        <f t="shared" si="6"/>
        <v>0.6981347221</v>
      </c>
    </row>
    <row r="385">
      <c r="A385" s="1" t="s">
        <v>468</v>
      </c>
      <c r="B385" s="1">
        <v>25.0</v>
      </c>
      <c r="C385" s="1" t="s">
        <v>16</v>
      </c>
      <c r="D385" s="1" t="s">
        <v>35</v>
      </c>
      <c r="E385" s="1" t="s">
        <v>27</v>
      </c>
      <c r="F385" s="1">
        <v>7.63</v>
      </c>
      <c r="G385" s="1">
        <v>1.13</v>
      </c>
      <c r="H385" s="1">
        <v>6.5</v>
      </c>
      <c r="I385" s="1">
        <v>9.1</v>
      </c>
      <c r="J385" s="1">
        <v>4.0</v>
      </c>
      <c r="K385" s="1">
        <v>4.5</v>
      </c>
      <c r="L385" s="1">
        <v>97.6</v>
      </c>
      <c r="M385" s="1">
        <v>207.0</v>
      </c>
      <c r="N385" s="1">
        <v>5.0</v>
      </c>
      <c r="O385" s="1">
        <v>71.0</v>
      </c>
      <c r="P385" s="2">
        <f t="shared" si="1"/>
        <v>0</v>
      </c>
      <c r="Q385" s="1" t="str">
        <f t="shared" si="2"/>
        <v>Low Leisure Screen</v>
      </c>
      <c r="R385" s="2" t="str">
        <f t="shared" si="3"/>
        <v>Low Total Screen</v>
      </c>
      <c r="S385" s="2" t="str">
        <f t="shared" si="4"/>
        <v/>
      </c>
      <c r="T385" s="2" t="str">
        <f t="shared" si="5"/>
        <v/>
      </c>
      <c r="AA385" s="1">
        <v>1.13</v>
      </c>
      <c r="AB385" s="2">
        <f t="shared" si="6"/>
        <v>0.7561219797</v>
      </c>
    </row>
    <row r="386">
      <c r="A386" s="1" t="s">
        <v>469</v>
      </c>
      <c r="B386" s="1">
        <v>23.0</v>
      </c>
      <c r="C386" s="1" t="s">
        <v>30</v>
      </c>
      <c r="D386" s="1" t="s">
        <v>32</v>
      </c>
      <c r="E386" s="1" t="s">
        <v>18</v>
      </c>
      <c r="F386" s="1">
        <v>10.23</v>
      </c>
      <c r="G386" s="1">
        <v>6.7</v>
      </c>
      <c r="H386" s="1">
        <v>3.53</v>
      </c>
      <c r="I386" s="1">
        <v>5.64</v>
      </c>
      <c r="J386" s="1">
        <v>1.0</v>
      </c>
      <c r="K386" s="1">
        <v>10.0</v>
      </c>
      <c r="L386" s="1">
        <v>33.5</v>
      </c>
      <c r="M386" s="1">
        <v>182.0</v>
      </c>
      <c r="N386" s="1">
        <v>11.3</v>
      </c>
      <c r="O386" s="1">
        <v>8.8</v>
      </c>
      <c r="P386" s="2">
        <f t="shared" si="1"/>
        <v>0</v>
      </c>
      <c r="Q386" s="1" t="str">
        <f t="shared" si="2"/>
        <v>Low Leisure Screen</v>
      </c>
      <c r="R386" s="2" t="str">
        <f t="shared" si="3"/>
        <v>High Total Screen</v>
      </c>
      <c r="S386" s="2" t="str">
        <f t="shared" si="4"/>
        <v>Higher Exercise</v>
      </c>
      <c r="T386" s="2" t="str">
        <f t="shared" si="5"/>
        <v>Higher Social</v>
      </c>
      <c r="AA386" s="1">
        <v>6.7</v>
      </c>
      <c r="AB386" s="2">
        <f t="shared" si="6"/>
        <v>2.041220329</v>
      </c>
    </row>
    <row r="387">
      <c r="A387" s="1" t="s">
        <v>470</v>
      </c>
      <c r="B387" s="1">
        <v>31.0</v>
      </c>
      <c r="C387" s="1" t="s">
        <v>16</v>
      </c>
      <c r="D387" s="1" t="s">
        <v>35</v>
      </c>
      <c r="E387" s="1" t="s">
        <v>18</v>
      </c>
      <c r="F387" s="1">
        <v>10.44</v>
      </c>
      <c r="G387" s="1">
        <v>3.97</v>
      </c>
      <c r="H387" s="1">
        <v>6.47</v>
      </c>
      <c r="I387" s="1">
        <v>6.66</v>
      </c>
      <c r="J387" s="1">
        <v>1.0</v>
      </c>
      <c r="K387" s="1">
        <v>7.8</v>
      </c>
      <c r="L387" s="1">
        <v>50.4</v>
      </c>
      <c r="M387" s="1">
        <v>146.0</v>
      </c>
      <c r="N387" s="1">
        <v>6.4</v>
      </c>
      <c r="O387" s="1">
        <v>16.7</v>
      </c>
      <c r="P387" s="2">
        <f t="shared" si="1"/>
        <v>0</v>
      </c>
      <c r="Q387" s="1" t="str">
        <f t="shared" si="2"/>
        <v>Low Leisure Screen</v>
      </c>
      <c r="R387" s="2" t="str">
        <f t="shared" si="3"/>
        <v>High Total Screen</v>
      </c>
      <c r="S387" s="2" t="str">
        <f t="shared" si="4"/>
        <v>Higher Exercise</v>
      </c>
      <c r="T387" s="2" t="str">
        <f t="shared" si="5"/>
        <v>Lower Social</v>
      </c>
      <c r="AA387" s="1">
        <v>3.97</v>
      </c>
      <c r="AB387" s="2">
        <f t="shared" si="6"/>
        <v>1.60341984</v>
      </c>
    </row>
    <row r="388">
      <c r="A388" s="1" t="s">
        <v>471</v>
      </c>
      <c r="B388" s="1">
        <v>32.0</v>
      </c>
      <c r="C388" s="1" t="s">
        <v>30</v>
      </c>
      <c r="D388" s="1" t="s">
        <v>17</v>
      </c>
      <c r="E388" s="1" t="s">
        <v>23</v>
      </c>
      <c r="F388" s="1">
        <v>5.84</v>
      </c>
      <c r="G388" s="1">
        <v>0.4</v>
      </c>
      <c r="H388" s="1">
        <v>5.44</v>
      </c>
      <c r="I388" s="1">
        <v>5.64</v>
      </c>
      <c r="J388" s="1">
        <v>1.0</v>
      </c>
      <c r="K388" s="1">
        <v>10.0</v>
      </c>
      <c r="L388" s="1">
        <v>43.8</v>
      </c>
      <c r="M388" s="1">
        <v>169.0</v>
      </c>
      <c r="N388" s="1">
        <v>6.7</v>
      </c>
      <c r="O388" s="1">
        <v>7.0</v>
      </c>
      <c r="P388" s="2">
        <f t="shared" si="1"/>
        <v>0</v>
      </c>
      <c r="Q388" s="1" t="str">
        <f t="shared" si="2"/>
        <v>Low Leisure Screen</v>
      </c>
      <c r="R388" s="2" t="str">
        <f t="shared" si="3"/>
        <v>Low Total Screen</v>
      </c>
      <c r="S388" s="2" t="str">
        <f t="shared" si="4"/>
        <v/>
      </c>
      <c r="T388" s="2" t="str">
        <f t="shared" si="5"/>
        <v/>
      </c>
      <c r="AA388" s="1">
        <v>0.4</v>
      </c>
      <c r="AB388" s="2">
        <f t="shared" si="6"/>
        <v>0.3364722366</v>
      </c>
    </row>
    <row r="389">
      <c r="A389" s="1" t="s">
        <v>472</v>
      </c>
      <c r="B389" s="1">
        <v>45.0</v>
      </c>
      <c r="C389" s="1" t="s">
        <v>16</v>
      </c>
      <c r="D389" s="1" t="s">
        <v>35</v>
      </c>
      <c r="E389" s="1" t="s">
        <v>27</v>
      </c>
      <c r="F389" s="1">
        <v>8.62</v>
      </c>
      <c r="G389" s="1">
        <v>1.94</v>
      </c>
      <c r="H389" s="1">
        <v>6.68</v>
      </c>
      <c r="I389" s="1">
        <v>7.41</v>
      </c>
      <c r="J389" s="1">
        <v>1.0</v>
      </c>
      <c r="K389" s="1">
        <v>9.7</v>
      </c>
      <c r="L389" s="1">
        <v>49.9</v>
      </c>
      <c r="M389" s="1">
        <v>233.0</v>
      </c>
      <c r="N389" s="1">
        <v>18.5</v>
      </c>
      <c r="O389" s="1">
        <v>7.1</v>
      </c>
      <c r="P389" s="2">
        <f t="shared" si="1"/>
        <v>0</v>
      </c>
      <c r="Q389" s="1" t="str">
        <f t="shared" si="2"/>
        <v>Low Leisure Screen</v>
      </c>
      <c r="R389" s="2" t="str">
        <f t="shared" si="3"/>
        <v>Low Total Screen</v>
      </c>
      <c r="S389" s="2" t="str">
        <f t="shared" si="4"/>
        <v/>
      </c>
      <c r="T389" s="2" t="str">
        <f t="shared" si="5"/>
        <v/>
      </c>
      <c r="AA389" s="1">
        <v>1.94</v>
      </c>
      <c r="AB389" s="2">
        <f t="shared" si="6"/>
        <v>1.078409581</v>
      </c>
    </row>
    <row r="390">
      <c r="A390" s="1" t="s">
        <v>473</v>
      </c>
      <c r="B390" s="1">
        <v>37.0</v>
      </c>
      <c r="C390" s="1" t="s">
        <v>30</v>
      </c>
      <c r="D390" s="1" t="s">
        <v>17</v>
      </c>
      <c r="E390" s="1" t="s">
        <v>18</v>
      </c>
      <c r="F390" s="1">
        <v>10.34</v>
      </c>
      <c r="G390" s="1">
        <v>3.55</v>
      </c>
      <c r="H390" s="1">
        <v>6.79</v>
      </c>
      <c r="I390" s="1">
        <v>7.21</v>
      </c>
      <c r="J390" s="1">
        <v>1.0</v>
      </c>
      <c r="K390" s="1">
        <v>10.0</v>
      </c>
      <c r="L390" s="1">
        <v>32.8</v>
      </c>
      <c r="M390" s="1">
        <v>123.0</v>
      </c>
      <c r="N390" s="1">
        <v>9.5</v>
      </c>
      <c r="O390" s="1">
        <v>4.5</v>
      </c>
      <c r="P390" s="2">
        <f t="shared" si="1"/>
        <v>0</v>
      </c>
      <c r="Q390" s="1" t="str">
        <f t="shared" si="2"/>
        <v>High Leisure Screen</v>
      </c>
      <c r="R390" s="2" t="str">
        <f t="shared" si="3"/>
        <v>High Total Screen</v>
      </c>
      <c r="S390" s="2" t="str">
        <f t="shared" si="4"/>
        <v>Higher Exercise</v>
      </c>
      <c r="T390" s="2" t="str">
        <f t="shared" si="5"/>
        <v>Higher Social</v>
      </c>
      <c r="AA390" s="1">
        <v>3.55</v>
      </c>
      <c r="AB390" s="2">
        <f t="shared" si="6"/>
        <v>1.515127233</v>
      </c>
    </row>
    <row r="391">
      <c r="A391" s="1" t="s">
        <v>474</v>
      </c>
      <c r="B391" s="1">
        <v>25.0</v>
      </c>
      <c r="C391" s="1" t="s">
        <v>16</v>
      </c>
      <c r="D391" s="1" t="s">
        <v>17</v>
      </c>
      <c r="E391" s="1" t="s">
        <v>23</v>
      </c>
      <c r="F391" s="1">
        <v>10.47</v>
      </c>
      <c r="G391" s="1">
        <v>1.05</v>
      </c>
      <c r="H391" s="1">
        <v>9.42</v>
      </c>
      <c r="I391" s="1">
        <v>6.75</v>
      </c>
      <c r="J391" s="1">
        <v>2.0</v>
      </c>
      <c r="K391" s="1">
        <v>10.0</v>
      </c>
      <c r="L391" s="1">
        <v>50.4</v>
      </c>
      <c r="M391" s="1">
        <v>138.0</v>
      </c>
      <c r="N391" s="1">
        <v>6.3</v>
      </c>
      <c r="O391" s="1">
        <v>16.8</v>
      </c>
      <c r="P391" s="2">
        <f t="shared" si="1"/>
        <v>0</v>
      </c>
      <c r="Q391" s="1" t="str">
        <f t="shared" si="2"/>
        <v>High Leisure Screen</v>
      </c>
      <c r="R391" s="2" t="str">
        <f t="shared" si="3"/>
        <v>High Total Screen</v>
      </c>
      <c r="S391" s="2" t="str">
        <f t="shared" si="4"/>
        <v>Higher Exercise</v>
      </c>
      <c r="T391" s="2" t="str">
        <f t="shared" si="5"/>
        <v>Lower Social</v>
      </c>
      <c r="AA391" s="1">
        <v>1.05</v>
      </c>
      <c r="AB391" s="2">
        <f t="shared" si="6"/>
        <v>0.7178397932</v>
      </c>
    </row>
    <row r="392">
      <c r="A392" s="1" t="s">
        <v>475</v>
      </c>
      <c r="B392" s="1">
        <v>22.0</v>
      </c>
      <c r="C392" s="1" t="s">
        <v>16</v>
      </c>
      <c r="D392" s="1" t="s">
        <v>17</v>
      </c>
      <c r="E392" s="1" t="s">
        <v>18</v>
      </c>
      <c r="F392" s="1">
        <v>11.79</v>
      </c>
      <c r="G392" s="1">
        <v>6.19</v>
      </c>
      <c r="H392" s="1">
        <v>5.6</v>
      </c>
      <c r="I392" s="1">
        <v>6.03</v>
      </c>
      <c r="J392" s="1">
        <v>1.0</v>
      </c>
      <c r="K392" s="1">
        <v>10.0</v>
      </c>
      <c r="L392" s="1">
        <v>36.5</v>
      </c>
      <c r="M392" s="1">
        <v>61.0</v>
      </c>
      <c r="N392" s="1">
        <v>11.7</v>
      </c>
      <c r="O392" s="1">
        <v>0.0</v>
      </c>
      <c r="P392" s="2">
        <f t="shared" si="1"/>
        <v>0</v>
      </c>
      <c r="Q392" s="1" t="str">
        <f t="shared" si="2"/>
        <v>Low Leisure Screen</v>
      </c>
      <c r="R392" s="2" t="str">
        <f t="shared" si="3"/>
        <v>High Total Screen</v>
      </c>
      <c r="S392" s="2" t="str">
        <f t="shared" si="4"/>
        <v>Lower Exercise</v>
      </c>
      <c r="T392" s="2" t="str">
        <f t="shared" si="5"/>
        <v>Higher Social</v>
      </c>
      <c r="AA392" s="1">
        <v>6.19</v>
      </c>
      <c r="AB392" s="2">
        <f t="shared" si="6"/>
        <v>1.972691172</v>
      </c>
    </row>
    <row r="393">
      <c r="A393" s="1" t="s">
        <v>476</v>
      </c>
      <c r="B393" s="1">
        <v>33.0</v>
      </c>
      <c r="C393" s="1" t="s">
        <v>30</v>
      </c>
      <c r="D393" s="1" t="s">
        <v>17</v>
      </c>
      <c r="E393" s="1" t="s">
        <v>27</v>
      </c>
      <c r="F393" s="1">
        <v>7.49</v>
      </c>
      <c r="G393" s="1">
        <v>1.21</v>
      </c>
      <c r="H393" s="1">
        <v>6.28</v>
      </c>
      <c r="I393" s="1">
        <v>5.67</v>
      </c>
      <c r="J393" s="1">
        <v>1.0</v>
      </c>
      <c r="K393" s="1">
        <v>7.8</v>
      </c>
      <c r="L393" s="1">
        <v>51.2</v>
      </c>
      <c r="M393" s="1">
        <v>19.0</v>
      </c>
      <c r="N393" s="1">
        <v>17.6</v>
      </c>
      <c r="O393" s="1">
        <v>7.7</v>
      </c>
      <c r="P393" s="2">
        <f t="shared" si="1"/>
        <v>0</v>
      </c>
      <c r="Q393" s="1" t="str">
        <f t="shared" si="2"/>
        <v>Low Leisure Screen</v>
      </c>
      <c r="R393" s="2" t="str">
        <f t="shared" si="3"/>
        <v>Low Total Screen</v>
      </c>
      <c r="S393" s="2" t="str">
        <f t="shared" si="4"/>
        <v/>
      </c>
      <c r="T393" s="2" t="str">
        <f t="shared" si="5"/>
        <v/>
      </c>
      <c r="AA393" s="1">
        <v>1.21</v>
      </c>
      <c r="AB393" s="2">
        <f t="shared" si="6"/>
        <v>0.7929925155</v>
      </c>
    </row>
    <row r="394">
      <c r="A394" s="1" t="s">
        <v>477</v>
      </c>
      <c r="B394" s="1">
        <v>19.0</v>
      </c>
      <c r="C394" s="1" t="s">
        <v>30</v>
      </c>
      <c r="D394" s="1" t="s">
        <v>32</v>
      </c>
      <c r="E394" s="1" t="s">
        <v>23</v>
      </c>
      <c r="F394" s="1">
        <v>10.75</v>
      </c>
      <c r="G394" s="1">
        <v>0.84</v>
      </c>
      <c r="H394" s="1">
        <v>9.91</v>
      </c>
      <c r="I394" s="1">
        <v>6.98</v>
      </c>
      <c r="J394" s="1">
        <v>1.0</v>
      </c>
      <c r="K394" s="1">
        <v>9.7</v>
      </c>
      <c r="L394" s="1">
        <v>34.4</v>
      </c>
      <c r="M394" s="1">
        <v>40.0</v>
      </c>
      <c r="N394" s="1">
        <v>9.0</v>
      </c>
      <c r="O394" s="1">
        <v>0.0</v>
      </c>
      <c r="P394" s="2">
        <f t="shared" si="1"/>
        <v>0</v>
      </c>
      <c r="Q394" s="1" t="str">
        <f t="shared" si="2"/>
        <v>High Leisure Screen</v>
      </c>
      <c r="R394" s="2" t="str">
        <f t="shared" si="3"/>
        <v>High Total Screen</v>
      </c>
      <c r="S394" s="2" t="str">
        <f t="shared" si="4"/>
        <v>Lower Exercise</v>
      </c>
      <c r="T394" s="2" t="str">
        <f t="shared" si="5"/>
        <v>Higher Social</v>
      </c>
      <c r="AA394" s="1">
        <v>0.84</v>
      </c>
      <c r="AB394" s="2">
        <f t="shared" si="6"/>
        <v>0.6097655716</v>
      </c>
    </row>
    <row r="395">
      <c r="A395" s="1" t="s">
        <v>478</v>
      </c>
      <c r="B395" s="1">
        <v>44.0</v>
      </c>
      <c r="C395" s="1" t="s">
        <v>16</v>
      </c>
      <c r="D395" s="1" t="s">
        <v>32</v>
      </c>
      <c r="E395" s="1" t="s">
        <v>18</v>
      </c>
      <c r="F395" s="1">
        <v>10.97</v>
      </c>
      <c r="G395" s="1">
        <v>4.21</v>
      </c>
      <c r="H395" s="1">
        <v>6.76</v>
      </c>
      <c r="I395" s="1">
        <v>8.06</v>
      </c>
      <c r="J395" s="1">
        <v>1.0</v>
      </c>
      <c r="K395" s="1">
        <v>10.0</v>
      </c>
      <c r="L395" s="1">
        <v>38.8</v>
      </c>
      <c r="M395" s="1">
        <v>99.0</v>
      </c>
      <c r="N395" s="1">
        <v>9.4</v>
      </c>
      <c r="O395" s="1">
        <v>1.9</v>
      </c>
      <c r="P395" s="2">
        <f t="shared" si="1"/>
        <v>0</v>
      </c>
      <c r="Q395" s="1" t="str">
        <f t="shared" si="2"/>
        <v>High Leisure Screen</v>
      </c>
      <c r="R395" s="2" t="str">
        <f t="shared" si="3"/>
        <v>High Total Screen</v>
      </c>
      <c r="S395" s="2" t="str">
        <f t="shared" si="4"/>
        <v>Lower Exercise</v>
      </c>
      <c r="T395" s="2" t="str">
        <f t="shared" si="5"/>
        <v>Higher Social</v>
      </c>
      <c r="AA395" s="1">
        <v>4.21</v>
      </c>
      <c r="AB395" s="2">
        <f t="shared" si="6"/>
        <v>1.650579856</v>
      </c>
    </row>
    <row r="396">
      <c r="A396" s="1" t="s">
        <v>479</v>
      </c>
      <c r="B396" s="1">
        <v>39.0</v>
      </c>
      <c r="C396" s="1" t="s">
        <v>30</v>
      </c>
      <c r="D396" s="1" t="s">
        <v>32</v>
      </c>
      <c r="E396" s="1" t="s">
        <v>18</v>
      </c>
      <c r="F396" s="1">
        <v>14.0</v>
      </c>
      <c r="G396" s="1">
        <v>6.2</v>
      </c>
      <c r="H396" s="1">
        <v>7.8</v>
      </c>
      <c r="I396" s="1">
        <v>5.92</v>
      </c>
      <c r="J396" s="1">
        <v>1.0</v>
      </c>
      <c r="K396" s="1">
        <v>10.0</v>
      </c>
      <c r="L396" s="1">
        <v>43.5</v>
      </c>
      <c r="M396" s="1">
        <v>83.0</v>
      </c>
      <c r="N396" s="1">
        <v>0.7</v>
      </c>
      <c r="O396" s="1">
        <v>5.7</v>
      </c>
      <c r="P396" s="2">
        <f t="shared" si="1"/>
        <v>0</v>
      </c>
      <c r="Q396" s="1" t="str">
        <f t="shared" si="2"/>
        <v>High Leisure Screen</v>
      </c>
      <c r="R396" s="2" t="str">
        <f t="shared" si="3"/>
        <v>High Total Screen</v>
      </c>
      <c r="S396" s="2" t="str">
        <f t="shared" si="4"/>
        <v>Lower Exercise</v>
      </c>
      <c r="T396" s="2" t="str">
        <f t="shared" si="5"/>
        <v>Lower Social</v>
      </c>
      <c r="AA396" s="1">
        <v>6.2</v>
      </c>
      <c r="AB396" s="2">
        <f t="shared" si="6"/>
        <v>1.974081026</v>
      </c>
    </row>
    <row r="397">
      <c r="A397" s="1" t="s">
        <v>480</v>
      </c>
      <c r="B397" s="1">
        <v>26.0</v>
      </c>
      <c r="C397" s="1" t="s">
        <v>16</v>
      </c>
      <c r="D397" s="1" t="s">
        <v>32</v>
      </c>
      <c r="E397" s="1" t="s">
        <v>18</v>
      </c>
      <c r="F397" s="1">
        <v>6.43</v>
      </c>
      <c r="G397" s="1">
        <v>2.99</v>
      </c>
      <c r="H397" s="1">
        <v>3.44</v>
      </c>
      <c r="I397" s="1">
        <v>7.75</v>
      </c>
      <c r="J397" s="1">
        <v>1.0</v>
      </c>
      <c r="K397" s="1">
        <v>5.9</v>
      </c>
      <c r="L397" s="1">
        <v>64.6</v>
      </c>
      <c r="M397" s="1">
        <v>252.0</v>
      </c>
      <c r="N397" s="1">
        <v>7.6</v>
      </c>
      <c r="O397" s="1">
        <v>39.3</v>
      </c>
      <c r="P397" s="2">
        <f t="shared" si="1"/>
        <v>0</v>
      </c>
      <c r="Q397" s="1" t="str">
        <f t="shared" si="2"/>
        <v>Low Leisure Screen</v>
      </c>
      <c r="R397" s="2" t="str">
        <f t="shared" si="3"/>
        <v>Low Total Screen</v>
      </c>
      <c r="S397" s="2" t="str">
        <f t="shared" si="4"/>
        <v/>
      </c>
      <c r="T397" s="2" t="str">
        <f t="shared" si="5"/>
        <v/>
      </c>
      <c r="AA397" s="1">
        <v>2.99</v>
      </c>
      <c r="AB397" s="2">
        <f t="shared" si="6"/>
        <v>1.383791231</v>
      </c>
    </row>
    <row r="398">
      <c r="A398" s="1" t="s">
        <v>481</v>
      </c>
      <c r="B398" s="1">
        <v>16.0</v>
      </c>
      <c r="C398" s="1" t="s">
        <v>30</v>
      </c>
      <c r="D398" s="1" t="s">
        <v>35</v>
      </c>
      <c r="E398" s="1" t="s">
        <v>18</v>
      </c>
      <c r="F398" s="1">
        <v>9.59</v>
      </c>
      <c r="G398" s="1">
        <v>5.44</v>
      </c>
      <c r="H398" s="1">
        <v>4.15</v>
      </c>
      <c r="I398" s="1">
        <v>5.57</v>
      </c>
      <c r="J398" s="1">
        <v>1.0</v>
      </c>
      <c r="K398" s="1">
        <v>10.0</v>
      </c>
      <c r="L398" s="1">
        <v>47.4</v>
      </c>
      <c r="M398" s="1">
        <v>99.0</v>
      </c>
      <c r="N398" s="1">
        <v>7.0</v>
      </c>
      <c r="O398" s="1">
        <v>3.5</v>
      </c>
      <c r="P398" s="2">
        <f t="shared" si="1"/>
        <v>0</v>
      </c>
      <c r="Q398" s="1" t="str">
        <f t="shared" si="2"/>
        <v>Low Leisure Screen</v>
      </c>
      <c r="R398" s="2" t="str">
        <f t="shared" si="3"/>
        <v>High Total Screen</v>
      </c>
      <c r="S398" s="2" t="str">
        <f t="shared" si="4"/>
        <v>Lower Exercise</v>
      </c>
      <c r="T398" s="2" t="str">
        <f t="shared" si="5"/>
        <v>Lower Social</v>
      </c>
      <c r="AA398" s="1">
        <v>5.44</v>
      </c>
      <c r="AB398" s="2">
        <f t="shared" si="6"/>
        <v>1.86252854</v>
      </c>
    </row>
    <row r="399">
      <c r="A399" s="1" t="s">
        <v>482</v>
      </c>
      <c r="B399" s="1">
        <v>40.0</v>
      </c>
      <c r="C399" s="1" t="s">
        <v>30</v>
      </c>
      <c r="D399" s="1" t="s">
        <v>32</v>
      </c>
      <c r="E399" s="1" t="s">
        <v>18</v>
      </c>
      <c r="F399" s="1">
        <v>8.72</v>
      </c>
      <c r="G399" s="1">
        <v>2.36</v>
      </c>
      <c r="H399" s="1">
        <v>6.36</v>
      </c>
      <c r="I399" s="1">
        <v>7.56</v>
      </c>
      <c r="J399" s="1">
        <v>1.0</v>
      </c>
      <c r="K399" s="1">
        <v>9.4</v>
      </c>
      <c r="L399" s="1">
        <v>57.3</v>
      </c>
      <c r="M399" s="1">
        <v>193.0</v>
      </c>
      <c r="N399" s="1">
        <v>10.1</v>
      </c>
      <c r="O399" s="1">
        <v>6.6</v>
      </c>
      <c r="P399" s="2">
        <f t="shared" si="1"/>
        <v>0</v>
      </c>
      <c r="Q399" s="1" t="str">
        <f t="shared" si="2"/>
        <v>Low Leisure Screen</v>
      </c>
      <c r="R399" s="2" t="str">
        <f t="shared" si="3"/>
        <v>Low Total Screen</v>
      </c>
      <c r="S399" s="2" t="str">
        <f t="shared" si="4"/>
        <v/>
      </c>
      <c r="T399" s="2" t="str">
        <f t="shared" si="5"/>
        <v/>
      </c>
      <c r="AA399" s="1">
        <v>2.36</v>
      </c>
      <c r="AB399" s="2">
        <f t="shared" si="6"/>
        <v>1.211940974</v>
      </c>
    </row>
    <row r="400">
      <c r="A400" s="1" t="s">
        <v>483</v>
      </c>
      <c r="B400" s="1">
        <v>29.0</v>
      </c>
      <c r="C400" s="1" t="s">
        <v>16</v>
      </c>
      <c r="D400" s="1" t="s">
        <v>37</v>
      </c>
      <c r="E400" s="1" t="s">
        <v>27</v>
      </c>
      <c r="F400" s="1">
        <v>5.04</v>
      </c>
      <c r="G400" s="1">
        <v>0.94</v>
      </c>
      <c r="H400" s="1">
        <v>4.1</v>
      </c>
      <c r="I400" s="1">
        <v>7.32</v>
      </c>
      <c r="J400" s="1">
        <v>1.0</v>
      </c>
      <c r="K400" s="1">
        <v>7.1</v>
      </c>
      <c r="L400" s="1">
        <v>63.6</v>
      </c>
      <c r="M400" s="1">
        <v>97.0</v>
      </c>
      <c r="N400" s="1">
        <v>12.1</v>
      </c>
      <c r="O400" s="1">
        <v>21.0</v>
      </c>
      <c r="P400" s="2">
        <f t="shared" si="1"/>
        <v>0</v>
      </c>
      <c r="Q400" s="1" t="str">
        <f t="shared" si="2"/>
        <v>Low Leisure Screen</v>
      </c>
      <c r="R400" s="2" t="str">
        <f t="shared" si="3"/>
        <v>Low Total Screen</v>
      </c>
      <c r="S400" s="2" t="str">
        <f t="shared" si="4"/>
        <v/>
      </c>
      <c r="T400" s="2" t="str">
        <f t="shared" si="5"/>
        <v/>
      </c>
      <c r="AA400" s="1">
        <v>0.94</v>
      </c>
      <c r="AB400" s="2">
        <f t="shared" si="6"/>
        <v>0.6626879731</v>
      </c>
    </row>
    <row r="401">
      <c r="A401" s="1" t="s">
        <v>484</v>
      </c>
      <c r="B401" s="1">
        <v>39.0</v>
      </c>
      <c r="C401" s="1" t="s">
        <v>16</v>
      </c>
      <c r="D401" s="1" t="s">
        <v>17</v>
      </c>
      <c r="E401" s="1" t="s">
        <v>18</v>
      </c>
      <c r="F401" s="1">
        <v>8.86</v>
      </c>
      <c r="G401" s="1">
        <v>3.82</v>
      </c>
      <c r="H401" s="1">
        <v>5.04</v>
      </c>
      <c r="I401" s="1">
        <v>6.55</v>
      </c>
      <c r="J401" s="1">
        <v>1.0</v>
      </c>
      <c r="K401" s="1">
        <v>10.0</v>
      </c>
      <c r="L401" s="1">
        <v>41.4</v>
      </c>
      <c r="M401" s="1">
        <v>88.0</v>
      </c>
      <c r="N401" s="1">
        <v>9.8</v>
      </c>
      <c r="O401" s="1">
        <v>8.4</v>
      </c>
      <c r="P401" s="2">
        <f t="shared" si="1"/>
        <v>0</v>
      </c>
      <c r="Q401" s="1" t="str">
        <f t="shared" si="2"/>
        <v>Low Leisure Screen</v>
      </c>
      <c r="R401" s="2" t="str">
        <f t="shared" si="3"/>
        <v>Low Total Screen</v>
      </c>
      <c r="S401" s="2" t="str">
        <f t="shared" si="4"/>
        <v/>
      </c>
      <c r="T401" s="2" t="str">
        <f t="shared" si="5"/>
        <v/>
      </c>
      <c r="AA401" s="1">
        <v>3.82</v>
      </c>
      <c r="AB401" s="2">
        <f t="shared" si="6"/>
        <v>1.572773928</v>
      </c>
    </row>
  </sheetData>
  <mergeCells count="1">
    <mergeCell ref="V10:Y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18.88"/>
  </cols>
  <sheetData>
    <row r="1">
      <c r="A1" s="6" t="s">
        <v>485</v>
      </c>
      <c r="B1" s="7"/>
      <c r="C1" s="7"/>
      <c r="D1" s="7"/>
      <c r="E1" s="7"/>
      <c r="F1" s="8"/>
    </row>
    <row r="2">
      <c r="A2" s="16" t="s">
        <v>486</v>
      </c>
      <c r="B2" s="17" t="s">
        <v>487</v>
      </c>
      <c r="C2" s="17" t="s">
        <v>488</v>
      </c>
      <c r="D2" s="17" t="s">
        <v>489</v>
      </c>
      <c r="E2" s="17" t="s">
        <v>490</v>
      </c>
      <c r="F2" s="17" t="s">
        <v>491</v>
      </c>
    </row>
    <row r="3">
      <c r="A3" s="3" t="s">
        <v>492</v>
      </c>
      <c r="B3" s="18">
        <f>AVERAGE('ScreenTime vs MentalWellness'!F2:F401)</f>
        <v>9.0249</v>
      </c>
      <c r="C3" s="18">
        <f>MEDIAN('ScreenTime vs MentalWellness'!F2:F401)</f>
        <v>9.09</v>
      </c>
      <c r="D3" s="18">
        <f>STDEV('ScreenTime vs MentalWellness'!F2:F401)</f>
        <v>2.491058393</v>
      </c>
      <c r="E3" s="18">
        <f>MIN('ScreenTime vs MentalWellness'!F2:F401)</f>
        <v>1</v>
      </c>
      <c r="F3" s="18">
        <f>MAX('ScreenTime vs MentalWellness'!F2:F401)</f>
        <v>19.17</v>
      </c>
    </row>
    <row r="4">
      <c r="A4" s="3" t="s">
        <v>493</v>
      </c>
      <c r="B4" s="18">
        <f>AVERAGE('ScreenTime vs MentalWellness'!G2:G401)</f>
        <v>2.183075</v>
      </c>
      <c r="C4" s="18">
        <f>MEDIAN('ScreenTime vs MentalWellness'!G2:G401)</f>
        <v>1.455</v>
      </c>
      <c r="D4" s="18">
        <f>STDEV('ScreenTime vs MentalWellness'!G2:G401)</f>
        <v>1.931320738</v>
      </c>
      <c r="E4" s="18">
        <f>MIN('ScreenTime vs MentalWellness'!G2:G401)</f>
        <v>0.11</v>
      </c>
      <c r="F4" s="18">
        <f>MAX('ScreenTime vs MentalWellness'!G2:G401)</f>
        <v>12.04</v>
      </c>
    </row>
    <row r="5">
      <c r="A5" s="3" t="s">
        <v>494</v>
      </c>
      <c r="B5" s="18">
        <f>AVERAGE('ScreenTime vs MentalWellness'!H2:H401)</f>
        <v>6.841825</v>
      </c>
      <c r="C5" s="18">
        <f>MEDIAN('ScreenTime vs MentalWellness'!H2:H401)</f>
        <v>6.7</v>
      </c>
      <c r="D5" s="18">
        <f>STDEV('ScreenTime vs MentalWellness'!H2:H401)</f>
        <v>2.220895847</v>
      </c>
      <c r="E5" s="18">
        <f>MIN('ScreenTime vs MentalWellness'!H2:H401)</f>
        <v>0.89</v>
      </c>
      <c r="F5" s="18">
        <f>MAX('ScreenTime vs MentalWellness'!H2:H401)</f>
        <v>13.35</v>
      </c>
    </row>
    <row r="6">
      <c r="A6" s="3" t="s">
        <v>119</v>
      </c>
      <c r="B6" s="18">
        <f>AVERAGE('ScreenTime vs MentalWellness'!O2:O401)</f>
        <v>20.32675</v>
      </c>
      <c r="C6" s="18">
        <f>MEDIAN('ScreenTime vs MentalWellness'!O2:O401)</f>
        <v>14.8</v>
      </c>
      <c r="D6" s="18">
        <f>STDEV('ScreenTime vs MentalWellness'!O2:O401)</f>
        <v>20.37679302</v>
      </c>
      <c r="E6" s="18">
        <f>MIN('ScreenTime vs MentalWellness'!O2:O401)</f>
        <v>0</v>
      </c>
      <c r="F6" s="18">
        <f>MAX('ScreenTime vs MentalWellness'!O2:O401)</f>
        <v>97</v>
      </c>
    </row>
    <row r="7">
      <c r="A7" s="3" t="s">
        <v>124</v>
      </c>
      <c r="B7" s="18">
        <f>AVERAGE('ScreenTime vs MentalWellness'!L2:L401)</f>
        <v>54.3065</v>
      </c>
      <c r="C7" s="18">
        <f>MEDIAN('ScreenTime vs MentalWellness'!L2:L401)</f>
        <v>51.75</v>
      </c>
      <c r="D7" s="18">
        <f>STDEV('ScreenTime vs MentalWellness'!L2:L401)</f>
        <v>15.02005369</v>
      </c>
      <c r="E7" s="18">
        <f>MIN('ScreenTime vs MentalWellness'!L2:L401)</f>
        <v>20.6</v>
      </c>
      <c r="F7" s="18">
        <f>MAX('ScreenTime vs MentalWellness'!L2:L401)</f>
        <v>100</v>
      </c>
    </row>
    <row r="8">
      <c r="A8" s="3" t="s">
        <v>495</v>
      </c>
      <c r="B8" s="18">
        <f>AVERAGE('ScreenTime vs MentalWellness'!K2:K401)</f>
        <v>8.1505</v>
      </c>
      <c r="C8" s="18">
        <f>MEDIAN('ScreenTime vs MentalWellness'!K2:K401)</f>
        <v>8.8</v>
      </c>
      <c r="D8" s="18">
        <f>STDEV('ScreenTime vs MentalWellness'!K2:K401)</f>
        <v>2.094843831</v>
      </c>
      <c r="E8" s="18">
        <f>MIN('ScreenTime vs MentalWellness'!K2:K401)</f>
        <v>0</v>
      </c>
      <c r="F8" s="18">
        <f>MAX('ScreenTime vs MentalWellness'!K2:K401)</f>
        <v>10</v>
      </c>
    </row>
    <row r="9">
      <c r="A9" s="3" t="s">
        <v>496</v>
      </c>
      <c r="B9" s="18">
        <f>AVERAGE('ScreenTime vs MentalWellness'!M2:M401)</f>
        <v>109.4525</v>
      </c>
      <c r="C9" s="18">
        <f>MEDIAN('ScreenTime vs MentalWellness'!M2:M401)</f>
        <v>103</v>
      </c>
      <c r="D9" s="18">
        <f>STDEV('ScreenTime vs MentalWellness'!M2:M401)</f>
        <v>70.20198388</v>
      </c>
      <c r="E9" s="18">
        <f>MIN('ScreenTime vs MentalWellness'!M2:M401)</f>
        <v>0</v>
      </c>
      <c r="F9" s="18">
        <f>MAX('ScreenTime vs MentalWellness'!M2:M401)</f>
        <v>372</v>
      </c>
    </row>
    <row r="10">
      <c r="A10" s="3" t="s">
        <v>497</v>
      </c>
      <c r="B10" s="18">
        <f>AVERAGE('ScreenTime vs MentalWellness'!N2:N401)</f>
        <v>7.905</v>
      </c>
      <c r="C10" s="18">
        <f>MEDIAN('ScreenTime vs MentalWellness'!N2:N401)</f>
        <v>7.75</v>
      </c>
      <c r="D10" s="18">
        <f>STDEV('ScreenTime vs MentalWellness'!N2:N401)</f>
        <v>4.909631984</v>
      </c>
      <c r="E10" s="18">
        <f>MIN('ScreenTime vs MentalWellness'!N2:N401)</f>
        <v>0</v>
      </c>
      <c r="F10" s="18">
        <f>MAX('ScreenTime vs MentalWellness'!N2:N401)</f>
        <v>23.9</v>
      </c>
    </row>
    <row r="11">
      <c r="A11" s="3" t="s">
        <v>498</v>
      </c>
      <c r="B11" s="18">
        <f>AVERAGE('ScreenTime vs MentalWellness'!I2:I401)</f>
        <v>7.013175</v>
      </c>
      <c r="C11" s="18">
        <f>MEDIAN('ScreenTime vs MentalWellness'!I2:I401)</f>
        <v>7.03</v>
      </c>
      <c r="D11" s="18">
        <f>STDEV('ScreenTime vs MentalWellness'!I2:I401)</f>
        <v>0.8524208013</v>
      </c>
      <c r="E11" s="18">
        <f>MIN('ScreenTime vs MentalWellness'!I2:I401)</f>
        <v>4.64</v>
      </c>
      <c r="F11" s="18">
        <f>MAX('ScreenTime vs MentalWellness'!I2:I401)</f>
        <v>9.74</v>
      </c>
    </row>
    <row r="12">
      <c r="A12" s="3" t="s">
        <v>499</v>
      </c>
      <c r="B12" s="18">
        <f>AVERAGE('ScreenTime vs MentalWellness'!J2:J401)</f>
        <v>1.3975</v>
      </c>
      <c r="C12" s="18">
        <f>MEDIAN('ScreenTime vs MentalWellness'!J2:J401)</f>
        <v>1</v>
      </c>
      <c r="D12" s="18">
        <f>STDEV('ScreenTime vs MentalWellness'!J2:J401)</f>
        <v>0.6523477938</v>
      </c>
      <c r="E12" s="18">
        <f>MIN('ScreenTime vs MentalWellness'!J2:J401)</f>
        <v>1</v>
      </c>
      <c r="F12" s="18">
        <f>MAX('ScreenTime vs MentalWellness'!J2:J401)</f>
        <v>4</v>
      </c>
    </row>
    <row r="13">
      <c r="A13" s="1"/>
    </row>
    <row r="14">
      <c r="A14" s="6" t="s">
        <v>500</v>
      </c>
      <c r="B14" s="8"/>
    </row>
    <row r="15">
      <c r="A15" s="16" t="s">
        <v>501</v>
      </c>
      <c r="B15" s="17" t="s">
        <v>502</v>
      </c>
    </row>
    <row r="16">
      <c r="A16" s="3" t="s">
        <v>503</v>
      </c>
      <c r="B16" s="18">
        <f>CORREL('ScreenTime vs MentalWellness'!F2:F401,'ScreenTime vs MentalWellness'!O2:O401)</f>
        <v>-0.6359429863</v>
      </c>
    </row>
    <row r="17">
      <c r="A17" s="3" t="s">
        <v>504</v>
      </c>
      <c r="B17" s="4">
        <f>CORREL('ScreenTime vs MentalWellness'!H2:H401, 'ScreenTime vs MentalWellness'!O2:O401)</f>
        <v>-0.4643660099</v>
      </c>
    </row>
    <row r="18">
      <c r="A18" s="3" t="s">
        <v>505</v>
      </c>
      <c r="B18" s="4">
        <f>CORREL('ScreenTime vs MentalWellness'!G2:G401, 'ScreenTime vs MentalWellness'!O2:O401)</f>
        <v>-0.2862613961</v>
      </c>
    </row>
    <row r="19">
      <c r="A19" s="3" t="s">
        <v>506</v>
      </c>
      <c r="B19" s="4">
        <f>CORREL('ScreenTime vs MentalWellness'!F2:F401, 'ScreenTime vs MentalWellness'!L2:L401)</f>
        <v>-0.706537393</v>
      </c>
    </row>
    <row r="20">
      <c r="A20" s="3" t="s">
        <v>507</v>
      </c>
      <c r="B20" s="4">
        <f>CORREL('ScreenTime vs MentalWellness'!H2:H401, 'ScreenTime vs MentalWellness'!L2:L401)</f>
        <v>-0.50055769</v>
      </c>
    </row>
    <row r="21">
      <c r="A21" s="3" t="s">
        <v>508</v>
      </c>
      <c r="B21" s="4">
        <f>CORREL('ScreenTime vs MentalWellness'!G2:G401, 'ScreenTime vs MentalWellness'!L2:L401)</f>
        <v>-0.3356974299</v>
      </c>
    </row>
    <row r="22">
      <c r="A22" s="3" t="s">
        <v>509</v>
      </c>
      <c r="B22" s="4">
        <f>CORREL('ScreenTime vs MentalWellness'!M2:M401, 'ScreenTime vs MentalWellness'!O2:O401)</f>
        <v>0.2330500626</v>
      </c>
    </row>
    <row r="23">
      <c r="A23" s="3" t="s">
        <v>510</v>
      </c>
      <c r="B23" s="4">
        <f>CORREL('ScreenTime vs MentalWellness'!N2:N401, 'ScreenTime vs MentalWellness'!O2:O401)</f>
        <v>0.07039977841</v>
      </c>
    </row>
    <row r="24">
      <c r="A24" s="3" t="s">
        <v>511</v>
      </c>
      <c r="B24" s="4">
        <f>CORREL('ScreenTime vs MentalWellness'!I2:I401, 'ScreenTime vs MentalWellness'!O2:O401)</f>
        <v>0.5808239958</v>
      </c>
    </row>
    <row r="25">
      <c r="A25" s="3" t="s">
        <v>512</v>
      </c>
      <c r="B25" s="4">
        <f>CORREL('ScreenTime vs MentalWellness'!J2:J401, 'ScreenTime vs MentalWellness'!O2:O401)</f>
        <v>0.750092297</v>
      </c>
    </row>
    <row r="26">
      <c r="A26" s="3" t="s">
        <v>513</v>
      </c>
      <c r="B26" s="4">
        <f>CORREL('ScreenTime vs MentalWellness'!K2:K401, 'ScreenTime vs MentalWellness'!O2:O401)</f>
        <v>-0.9138180536</v>
      </c>
    </row>
    <row r="27">
      <c r="A27" s="1"/>
    </row>
    <row r="28">
      <c r="A28" s="6" t="s">
        <v>514</v>
      </c>
      <c r="B28" s="8"/>
    </row>
    <row r="29">
      <c r="A29" s="16" t="s">
        <v>501</v>
      </c>
      <c r="B29" s="17" t="s">
        <v>211</v>
      </c>
    </row>
    <row r="30">
      <c r="A30" s="3" t="s">
        <v>515</v>
      </c>
      <c r="B30" s="11">
        <v>0.233</v>
      </c>
    </row>
    <row r="31">
      <c r="A31" s="3" t="s">
        <v>516</v>
      </c>
      <c r="B31" s="11">
        <v>0.07</v>
      </c>
    </row>
    <row r="32">
      <c r="A32" s="3" t="s">
        <v>216</v>
      </c>
      <c r="B32" s="11">
        <v>0.581</v>
      </c>
    </row>
    <row r="33">
      <c r="A33" s="3" t="s">
        <v>223</v>
      </c>
      <c r="B33" s="11">
        <v>0.75</v>
      </c>
    </row>
    <row r="34">
      <c r="A34" s="3" t="s">
        <v>228</v>
      </c>
      <c r="B34" s="11">
        <v>-0.914</v>
      </c>
    </row>
    <row r="35">
      <c r="A35" s="1"/>
    </row>
    <row r="36">
      <c r="A36" s="1"/>
    </row>
    <row r="37">
      <c r="A37" s="1"/>
    </row>
    <row r="38">
      <c r="A38" s="1" t="s">
        <v>517</v>
      </c>
    </row>
    <row r="39">
      <c r="A39" s="1"/>
    </row>
    <row r="40">
      <c r="A40" s="1"/>
    </row>
    <row r="41">
      <c r="A41" s="1"/>
    </row>
    <row r="74">
      <c r="A74" s="5" t="s">
        <v>518</v>
      </c>
      <c r="B74" s="19" t="s">
        <v>119</v>
      </c>
      <c r="C74" s="19" t="s">
        <v>124</v>
      </c>
    </row>
    <row r="75">
      <c r="A75" s="1" t="s">
        <v>74</v>
      </c>
      <c r="B75" s="13">
        <v>27.61</v>
      </c>
      <c r="C75" s="13">
        <v>59.96</v>
      </c>
    </row>
    <row r="76">
      <c r="A76" s="1" t="s">
        <v>83</v>
      </c>
      <c r="B76" s="13">
        <v>12.97</v>
      </c>
      <c r="C76" s="13">
        <v>48.59</v>
      </c>
    </row>
  </sheetData>
  <mergeCells count="3">
    <mergeCell ref="A1:F1"/>
    <mergeCell ref="A14:B14"/>
    <mergeCell ref="A28:B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1" t="s">
        <v>365</v>
      </c>
    </row>
    <row r="2">
      <c r="A2" s="22" t="s">
        <v>367</v>
      </c>
    </row>
    <row r="4">
      <c r="A4" s="23">
        <v>400.0</v>
      </c>
      <c r="B4" s="24"/>
      <c r="C4" s="23" t="s">
        <v>370</v>
      </c>
      <c r="D4" s="24"/>
      <c r="E4" s="23">
        <v>20.33</v>
      </c>
      <c r="F4" s="24"/>
      <c r="G4" s="23">
        <v>54.31</v>
      </c>
    </row>
    <row r="5">
      <c r="A5" s="25" t="s">
        <v>112</v>
      </c>
      <c r="B5" s="26"/>
      <c r="C5" s="25" t="s">
        <v>372</v>
      </c>
      <c r="D5" s="26"/>
      <c r="E5" s="25" t="s">
        <v>374</v>
      </c>
      <c r="F5" s="26"/>
      <c r="G5" s="25" t="s">
        <v>375</v>
      </c>
    </row>
    <row r="43">
      <c r="A43" s="1" t="s">
        <v>378</v>
      </c>
    </row>
    <row r="45">
      <c r="A45" s="1" t="s">
        <v>379</v>
      </c>
    </row>
    <row r="46">
      <c r="A46" s="1" t="s">
        <v>380</v>
      </c>
    </row>
    <row r="48">
      <c r="A48" s="1" t="s">
        <v>382</v>
      </c>
    </row>
    <row r="49">
      <c r="A49" s="1" t="s">
        <v>383</v>
      </c>
    </row>
    <row r="51">
      <c r="A51" s="1" t="s">
        <v>384</v>
      </c>
    </row>
    <row r="52">
      <c r="A52" s="1" t="s">
        <v>386</v>
      </c>
    </row>
    <row r="54">
      <c r="A54" s="1" t="s">
        <v>387</v>
      </c>
    </row>
    <row r="55">
      <c r="A55" s="1" t="s">
        <v>389</v>
      </c>
    </row>
    <row r="57">
      <c r="A57" s="1" t="s">
        <v>390</v>
      </c>
    </row>
  </sheetData>
  <drawing r:id="rId1"/>
</worksheet>
</file>